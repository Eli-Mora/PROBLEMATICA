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G:\PROBLEMATICA\ofimatica\"/>
    </mc:Choice>
  </mc:AlternateContent>
  <xr:revisionPtr revIDLastSave="0" documentId="13_ncr:1_{0BA03DA6-0629-4691-BC2A-49A788321DE8}" xr6:coauthVersionLast="47" xr6:coauthVersionMax="47" xr10:uidLastSave="{00000000-0000-0000-0000-000000000000}"/>
  <bookViews>
    <workbookView xWindow="-120" yWindow="-120" windowWidth="20730" windowHeight="11760" firstSheet="2" activeTab="2" xr2:uid="{00000000-000D-0000-FFFF-FFFF00000000}"/>
  </bookViews>
  <sheets>
    <sheet name="DATOS" sheetId="4" state="hidden" r:id="rId1"/>
    <sheet name="REGISTRO" sheetId="3" state="hidden" r:id="rId2"/>
    <sheet name="RELOJ" sheetId="2" r:id="rId3"/>
    <sheet name="NOMINA" sheetId="1" r:id="rId4"/>
  </sheets>
  <definedNames>
    <definedName name="Reg">OFFSET(REGISTRO!$A$1,0,0,COUNTA(REGISTRO!$A:$A),1)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3" l="1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F8" i="1"/>
  <c r="F9" i="1"/>
  <c r="F10" i="1"/>
  <c r="F11" i="1"/>
  <c r="F12" i="1"/>
  <c r="F13" i="1"/>
  <c r="F14" i="1"/>
  <c r="F15" i="1"/>
  <c r="F16" i="1"/>
  <c r="E9" i="1" l="1"/>
  <c r="G9" i="1"/>
  <c r="I9" i="1" s="1"/>
  <c r="G14" i="1" l="1"/>
  <c r="I14" i="1" s="1"/>
  <c r="G12" i="1"/>
  <c r="I12" i="1" s="1"/>
  <c r="G16" i="1"/>
  <c r="I16" i="1" s="1"/>
  <c r="G11" i="1"/>
  <c r="I11" i="1" s="1"/>
  <c r="G15" i="1"/>
  <c r="I15" i="1" s="1"/>
  <c r="G8" i="1"/>
  <c r="I8" i="1" s="1"/>
  <c r="G13" i="1"/>
  <c r="I13" i="1" s="1"/>
  <c r="G10" i="1"/>
  <c r="I10" i="1" s="1"/>
  <c r="C7" i="2"/>
  <c r="B7" i="2" l="1"/>
  <c r="E16" i="1" l="1"/>
  <c r="H16" i="1" s="1"/>
  <c r="D7" i="2" l="1"/>
  <c r="E15" i="1"/>
  <c r="H15" i="1" s="1"/>
  <c r="E14" i="1"/>
  <c r="H14" i="1" s="1"/>
  <c r="E13" i="1"/>
  <c r="H13" i="1" s="1"/>
  <c r="E12" i="1"/>
  <c r="H12" i="1" s="1"/>
  <c r="E11" i="1"/>
  <c r="H11" i="1" s="1"/>
  <c r="E10" i="1"/>
  <c r="H10" i="1" s="1"/>
  <c r="H9" i="1"/>
  <c r="E8" i="1"/>
  <c r="H8" i="1" s="1"/>
</calcChain>
</file>

<file path=xl/sharedStrings.xml><?xml version="1.0" encoding="utf-8"?>
<sst xmlns="http://schemas.openxmlformats.org/spreadsheetml/2006/main" count="343" uniqueCount="130">
  <si>
    <t>NOMINA</t>
  </si>
  <si>
    <t>CODIGO</t>
  </si>
  <si>
    <t>NOMBRE</t>
  </si>
  <si>
    <t>CATEGORIA</t>
  </si>
  <si>
    <t>PPS01</t>
  </si>
  <si>
    <t>ALFREDO DIAZ</t>
  </si>
  <si>
    <t>PPS02</t>
  </si>
  <si>
    <t>EMMANUEL MADRIGAL</t>
  </si>
  <si>
    <t>PPS03</t>
  </si>
  <si>
    <t>BENJAMIN ESTRADA</t>
  </si>
  <si>
    <t>PPS04</t>
  </si>
  <si>
    <t>IGNACIO PEREZ</t>
  </si>
  <si>
    <t>PPS05</t>
  </si>
  <si>
    <t>DAVID LARA</t>
  </si>
  <si>
    <t>PPS06</t>
  </si>
  <si>
    <t>ALEJANDRO OROZCO</t>
  </si>
  <si>
    <t>PPS07</t>
  </si>
  <si>
    <t>PPS08</t>
  </si>
  <si>
    <t>SUELDO MENSUAL</t>
  </si>
  <si>
    <t>SUELDO DIARIO</t>
  </si>
  <si>
    <t>DIAS TRABAJADOS</t>
  </si>
  <si>
    <t>SUELDO QUINCENAL</t>
  </si>
  <si>
    <t>SALIDA</t>
  </si>
  <si>
    <t>REGISTROS (REPORTE)</t>
  </si>
  <si>
    <t>CODIGO EMPLEADO</t>
  </si>
  <si>
    <t>ENTRADA</t>
  </si>
  <si>
    <t>MOTIVO</t>
  </si>
  <si>
    <t>HORA</t>
  </si>
  <si>
    <t>INCENTIVOS</t>
  </si>
  <si>
    <t>PPS09</t>
  </si>
  <si>
    <t>FECHA</t>
  </si>
  <si>
    <t>HORAS</t>
  </si>
  <si>
    <t>JAVIER ESPARZA</t>
  </si>
  <si>
    <t>ANDRES PELAYO</t>
  </si>
  <si>
    <t>JOSÉ RODRÍGUEZ</t>
  </si>
  <si>
    <t>PPS0101/07/2021</t>
  </si>
  <si>
    <t>PPS0401/07/2021</t>
  </si>
  <si>
    <t>PPS0701/07/2021</t>
  </si>
  <si>
    <t>PPS0731/07/2021</t>
  </si>
  <si>
    <t>PPS0431/07/2021</t>
  </si>
  <si>
    <t>PPS0131/07/2021</t>
  </si>
  <si>
    <t>PPS0202/07/2021</t>
  </si>
  <si>
    <t>PPS0502/07/2021</t>
  </si>
  <si>
    <t>PPS0802/07/2021</t>
  </si>
  <si>
    <t>PPS0303/07/2021</t>
  </si>
  <si>
    <t>PPS0603/07/2021</t>
  </si>
  <si>
    <t>PPS0903/07/2021</t>
  </si>
  <si>
    <t>PPS0930/07/2021</t>
  </si>
  <si>
    <t>PPS0630/07/2021</t>
  </si>
  <si>
    <t>PPS0330/07/2021</t>
  </si>
  <si>
    <t>PPS0829/07/2021</t>
  </si>
  <si>
    <t>PPS0529/07/2021</t>
  </si>
  <si>
    <t>PPS0229/07/2021</t>
  </si>
  <si>
    <t>PPS0728/07/2021</t>
  </si>
  <si>
    <t>PPS0428/07/2021</t>
  </si>
  <si>
    <t>PPS0128/07/2021</t>
  </si>
  <si>
    <t>PPS0927/07/2021</t>
  </si>
  <si>
    <t>PPS0627/07/2021</t>
  </si>
  <si>
    <t>PPS0327/07/2021</t>
  </si>
  <si>
    <t>PPS0826/07/2021</t>
  </si>
  <si>
    <t>PPS0526/07/2021</t>
  </si>
  <si>
    <t>PPS0226/07/2021</t>
  </si>
  <si>
    <t>PPS0725/07/2021</t>
  </si>
  <si>
    <t>PPS0425/07/2021</t>
  </si>
  <si>
    <t>PPS0125/07/2021</t>
  </si>
  <si>
    <t>PPS0924/07/2021</t>
  </si>
  <si>
    <t>PPS0624/07/2021</t>
  </si>
  <si>
    <t>PPS0324/07/2021</t>
  </si>
  <si>
    <t>PPS0823/07/2021</t>
  </si>
  <si>
    <t>PPS0523/07/2021</t>
  </si>
  <si>
    <t>PPS0223/07/2021</t>
  </si>
  <si>
    <t>PPS0722/07/2021</t>
  </si>
  <si>
    <t>PPS0422/07/2021</t>
  </si>
  <si>
    <t>PPS0122/07/2021</t>
  </si>
  <si>
    <t>PPS0921/07/2021</t>
  </si>
  <si>
    <t>PPS0621/07/2021</t>
  </si>
  <si>
    <t>PPS0321/07/2021</t>
  </si>
  <si>
    <t>PPS0820/07/2021</t>
  </si>
  <si>
    <t>PPS0520/07/2021</t>
  </si>
  <si>
    <t>PPS0220/07/2021</t>
  </si>
  <si>
    <t>PPS0719/07/2021</t>
  </si>
  <si>
    <t>PPS0419/07/2021</t>
  </si>
  <si>
    <t>PPS0119/07/2021</t>
  </si>
  <si>
    <t>PPS0918/07/2021</t>
  </si>
  <si>
    <t>PPS0618/07/2021</t>
  </si>
  <si>
    <t>PPS0318/07/2021</t>
  </si>
  <si>
    <t>PPS0817/07/2021</t>
  </si>
  <si>
    <t>PPS0517/07/2021</t>
  </si>
  <si>
    <t>PPS0217/07/2021</t>
  </si>
  <si>
    <t>PPS0716/07/2021</t>
  </si>
  <si>
    <t>PPS0416/07/2021</t>
  </si>
  <si>
    <t>PPS0116/07/2021</t>
  </si>
  <si>
    <t>PPS0915/07/2021</t>
  </si>
  <si>
    <t>PPS0615/07/2021</t>
  </si>
  <si>
    <t>PPS0315/07/2021</t>
  </si>
  <si>
    <t>PPS0814/07/2021</t>
  </si>
  <si>
    <t>PPS0514/07/2021</t>
  </si>
  <si>
    <t>PPS0214/07/2021</t>
  </si>
  <si>
    <t>PPS0104/07/2021</t>
  </si>
  <si>
    <t>PPS0404/07/2021</t>
  </si>
  <si>
    <t>PPS0704/07/2021</t>
  </si>
  <si>
    <t>PPS0205/07/2021</t>
  </si>
  <si>
    <t>PPS0505/07/2021</t>
  </si>
  <si>
    <t>PPS0805/07/2021</t>
  </si>
  <si>
    <t>PPS0306/07/2021</t>
  </si>
  <si>
    <t>PPS0606/07/2021</t>
  </si>
  <si>
    <t>PPS0906/07/2021</t>
  </si>
  <si>
    <t>PPS0107/07/2021</t>
  </si>
  <si>
    <t>PPS0407/07/2021</t>
  </si>
  <si>
    <t>PPS0707/07/2021</t>
  </si>
  <si>
    <t>PPS0208/07/2021</t>
  </si>
  <si>
    <t>PPS0508/07/2021</t>
  </si>
  <si>
    <t>PPS0808/07/2021</t>
  </si>
  <si>
    <t>PPS0309/07/2021</t>
  </si>
  <si>
    <t>PPS0609/07/2021</t>
  </si>
  <si>
    <t>PPS0909/07/2021</t>
  </si>
  <si>
    <t>PPS0110/07/2021</t>
  </si>
  <si>
    <t>PPS0410/07/2021</t>
  </si>
  <si>
    <t>PPS0710/07/2021</t>
  </si>
  <si>
    <t>PPS0211/07/2021</t>
  </si>
  <si>
    <t>PPS0511/07/2021</t>
  </si>
  <si>
    <t>PPS0811/07/2021</t>
  </si>
  <si>
    <t>PPS0312/07/2021</t>
  </si>
  <si>
    <t>PPS0612/07/2021</t>
  </si>
  <si>
    <t>PPS0912/07/2021</t>
  </si>
  <si>
    <t>PPS0113/07/2021</t>
  </si>
  <si>
    <t>PPS0413/07/2021</t>
  </si>
  <si>
    <t>PPS0713/07/2021</t>
  </si>
  <si>
    <t>CLAVE</t>
  </si>
  <si>
    <t>HORAS TRABAJADAS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</si>
</sst>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164" formatCode="h:mm:ss;@"/>
    <numFmt numFmtId="165" formatCode="[h]:mm:ss;@"/>
    <numFmt numFmtId="166" formatCode="[$-409]d\-m\-yy\ h:mm\ AM/PM;@"/>
    <numFmt numFmtId="167" formatCode="d\-m\-yy\ h:mm;@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99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theme="5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5"/>
      </top>
      <bottom/>
      <diagonal/>
    </border>
    <border>
      <left/>
      <right/>
      <top style="thin">
        <color theme="5"/>
      </top>
      <bottom style="thin">
        <color theme="5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2">
    <xf numFmtId="0" fontId="0" fillId="0" borderId="0" xfId="0"/>
    <xf numFmtId="0" fontId="0" fillId="0" borderId="0" xfId="0" applyBorder="1" applyAlignment="1">
      <alignment horizontal="center"/>
    </xf>
    <xf numFmtId="49" fontId="0" fillId="3" borderId="9" xfId="0" applyNumberFormat="1" applyFill="1" applyBorder="1" applyAlignment="1" applyProtection="1">
      <alignment horizontal="center" vertical="center"/>
      <protection locked="0"/>
    </xf>
    <xf numFmtId="0" fontId="0" fillId="0" borderId="10" xfId="0" applyBorder="1" applyProtection="1">
      <protection locked="0"/>
    </xf>
    <xf numFmtId="49" fontId="0" fillId="0" borderId="10" xfId="0" applyNumberFormat="1" applyBorder="1" applyProtection="1"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49" fontId="0" fillId="0" borderId="11" xfId="0" applyNumberFormat="1" applyBorder="1" applyProtection="1">
      <protection locked="0"/>
    </xf>
    <xf numFmtId="0" fontId="0" fillId="0" borderId="11" xfId="0" applyBorder="1" applyAlignment="1" applyProtection="1">
      <alignment horizontal="center"/>
      <protection locked="0"/>
    </xf>
    <xf numFmtId="49" fontId="0" fillId="0" borderId="5" xfId="0" applyNumberFormat="1" applyBorder="1" applyProtection="1">
      <protection locked="0"/>
    </xf>
    <xf numFmtId="49" fontId="0" fillId="0" borderId="5" xfId="0" applyNumberFormat="1" applyFill="1" applyBorder="1" applyProtection="1">
      <protection locked="0"/>
    </xf>
    <xf numFmtId="0" fontId="0" fillId="0" borderId="11" xfId="0" applyFill="1" applyBorder="1" applyAlignment="1" applyProtection="1">
      <alignment horizontal="center"/>
      <protection locked="0"/>
    </xf>
    <xf numFmtId="0" fontId="0" fillId="0" borderId="12" xfId="0" applyBorder="1" applyProtection="1">
      <protection locked="0"/>
    </xf>
    <xf numFmtId="0" fontId="0" fillId="0" borderId="12" xfId="0" applyFill="1" applyBorder="1" applyAlignment="1" applyProtection="1">
      <alignment horizontal="center"/>
      <protection locked="0"/>
    </xf>
    <xf numFmtId="44" fontId="0" fillId="0" borderId="10" xfId="1" applyFont="1" applyBorder="1" applyProtection="1">
      <protection locked="0"/>
    </xf>
    <xf numFmtId="44" fontId="0" fillId="0" borderId="11" xfId="1" applyFont="1" applyBorder="1" applyProtection="1">
      <protection locked="0"/>
    </xf>
    <xf numFmtId="44" fontId="0" fillId="0" borderId="11" xfId="1" applyFont="1" applyFill="1" applyBorder="1" applyProtection="1">
      <protection locked="0"/>
    </xf>
    <xf numFmtId="0" fontId="0" fillId="0" borderId="0" xfId="0" applyBorder="1"/>
    <xf numFmtId="0" fontId="4" fillId="0" borderId="0" xfId="0" applyFont="1" applyFill="1" applyBorder="1" applyAlignment="1">
      <alignment vertical="top"/>
    </xf>
    <xf numFmtId="0" fontId="2" fillId="0" borderId="0" xfId="0" applyFont="1" applyFill="1" applyBorder="1" applyAlignment="1">
      <alignment vertical="top"/>
    </xf>
    <xf numFmtId="0" fontId="3" fillId="0" borderId="0" xfId="0" applyFont="1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1" xfId="0" applyBorder="1"/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 applyAlignment="1">
      <alignment horizontal="center"/>
    </xf>
    <xf numFmtId="0" fontId="0" fillId="0" borderId="12" xfId="0" applyBorder="1"/>
    <xf numFmtId="44" fontId="0" fillId="0" borderId="7" xfId="0" applyNumberFormat="1" applyBorder="1"/>
    <xf numFmtId="0" fontId="0" fillId="0" borderId="0" xfId="0" applyFill="1"/>
    <xf numFmtId="0" fontId="0" fillId="0" borderId="0" xfId="0" applyProtection="1"/>
    <xf numFmtId="0" fontId="0" fillId="4" borderId="13" xfId="0" applyFill="1" applyBorder="1" applyAlignment="1" applyProtection="1">
      <alignment horizontal="center" vertical="center" wrapText="1"/>
    </xf>
    <xf numFmtId="0" fontId="0" fillId="4" borderId="14" xfId="0" applyFill="1" applyBorder="1" applyAlignment="1" applyProtection="1">
      <alignment horizontal="center" vertical="center" wrapText="1"/>
    </xf>
    <xf numFmtId="0" fontId="0" fillId="4" borderId="14" xfId="0" applyFill="1" applyBorder="1" applyAlignment="1" applyProtection="1">
      <alignment horizontal="center" vertical="center"/>
    </xf>
    <xf numFmtId="0" fontId="0" fillId="4" borderId="15" xfId="0" applyFill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/>
    </xf>
    <xf numFmtId="14" fontId="0" fillId="0" borderId="7" xfId="0" applyNumberFormat="1" applyFill="1" applyBorder="1" applyAlignment="1" applyProtection="1">
      <alignment horizontal="center"/>
    </xf>
    <xf numFmtId="20" fontId="0" fillId="0" borderId="7" xfId="0" applyNumberFormat="1" applyBorder="1" applyAlignment="1" applyProtection="1">
      <alignment horizontal="center"/>
    </xf>
    <xf numFmtId="164" fontId="0" fillId="0" borderId="7" xfId="0" applyNumberFormat="1" applyBorder="1" applyAlignment="1" applyProtection="1">
      <alignment horizontal="center"/>
    </xf>
    <xf numFmtId="20" fontId="0" fillId="0" borderId="8" xfId="0" applyNumberFormat="1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20" fontId="0" fillId="0" borderId="0" xfId="0" applyNumberFormat="1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165" fontId="0" fillId="0" borderId="0" xfId="0" applyNumberFormat="1"/>
    <xf numFmtId="49" fontId="0" fillId="5" borderId="9" xfId="0" applyNumberFormat="1" applyFill="1" applyBorder="1" applyAlignment="1" applyProtection="1">
      <alignment horizontal="center" vertical="center"/>
      <protection locked="0"/>
    </xf>
    <xf numFmtId="49" fontId="0" fillId="5" borderId="9" xfId="0" applyNumberFormat="1" applyFill="1" applyBorder="1" applyAlignment="1" applyProtection="1">
      <alignment horizontal="center" vertical="center" textRotation="255"/>
      <protection locked="0"/>
    </xf>
    <xf numFmtId="49" fontId="0" fillId="5" borderId="9" xfId="0" applyNumberFormat="1" applyFill="1" applyBorder="1" applyAlignment="1">
      <alignment horizontal="center" vertical="center"/>
    </xf>
    <xf numFmtId="14" fontId="0" fillId="0" borderId="17" xfId="0" applyNumberFormat="1" applyFont="1" applyBorder="1"/>
    <xf numFmtId="166" fontId="0" fillId="0" borderId="0" xfId="0" applyNumberFormat="1"/>
    <xf numFmtId="167" fontId="0" fillId="0" borderId="17" xfId="0" applyNumberFormat="1" applyFont="1" applyBorder="1"/>
    <xf numFmtId="167" fontId="0" fillId="0" borderId="16" xfId="0" applyNumberFormat="1" applyFont="1" applyBorder="1"/>
    <xf numFmtId="167" fontId="0" fillId="0" borderId="0" xfId="0" applyNumberFormat="1"/>
    <xf numFmtId="0" fontId="5" fillId="8" borderId="18" xfId="0" applyFont="1" applyFill="1" applyBorder="1"/>
    <xf numFmtId="0" fontId="5" fillId="8" borderId="16" xfId="0" applyFont="1" applyFill="1" applyBorder="1"/>
    <xf numFmtId="166" fontId="5" fillId="8" borderId="16" xfId="0" applyNumberFormat="1" applyFont="1" applyFill="1" applyBorder="1"/>
    <xf numFmtId="165" fontId="5" fillId="8" borderId="19" xfId="0" applyNumberFormat="1" applyFont="1" applyFill="1" applyBorder="1"/>
    <xf numFmtId="0" fontId="0" fillId="0" borderId="18" xfId="0" applyFont="1" applyBorder="1"/>
    <xf numFmtId="0" fontId="0" fillId="6" borderId="16" xfId="0" applyFont="1" applyFill="1" applyBorder="1"/>
    <xf numFmtId="165" fontId="0" fillId="0" borderId="19" xfId="0" applyNumberFormat="1" applyFont="1" applyBorder="1"/>
    <xf numFmtId="0" fontId="0" fillId="0" borderId="16" xfId="0" applyFont="1" applyBorder="1"/>
    <xf numFmtId="0" fontId="0" fillId="7" borderId="16" xfId="0" applyFont="1" applyFill="1" applyBorder="1"/>
    <xf numFmtId="14" fontId="0" fillId="0" borderId="16" xfId="0" applyNumberFormat="1" applyFont="1" applyBorder="1"/>
    <xf numFmtId="0" fontId="0" fillId="0" borderId="20" xfId="0" applyFont="1" applyBorder="1"/>
    <xf numFmtId="0" fontId="0" fillId="6" borderId="17" xfId="0" applyFont="1" applyFill="1" applyBorder="1"/>
    <xf numFmtId="165" fontId="0" fillId="0" borderId="21" xfId="0" applyNumberFormat="1" applyFont="1" applyBorder="1"/>
    <xf numFmtId="44" fontId="0" fillId="0" borderId="1" xfId="1" applyFont="1" applyBorder="1"/>
    <xf numFmtId="44" fontId="0" fillId="0" borderId="4" xfId="1" applyFont="1" applyBorder="1"/>
    <xf numFmtId="44" fontId="0" fillId="0" borderId="6" xfId="1" applyFont="1" applyFill="1" applyBorder="1"/>
    <xf numFmtId="49" fontId="0" fillId="5" borderId="1" xfId="0" applyNumberFormat="1" applyFill="1" applyBorder="1" applyAlignment="1" applyProtection="1">
      <alignment horizontal="center" vertical="center" textRotation="90"/>
      <protection locked="0"/>
    </xf>
    <xf numFmtId="0" fontId="0" fillId="0" borderId="10" xfId="0" applyNumberFormat="1" applyBorder="1" applyAlignment="1" applyProtection="1">
      <alignment horizontal="center"/>
      <protection locked="0"/>
    </xf>
    <xf numFmtId="0" fontId="0" fillId="0" borderId="11" xfId="0" applyNumberFormat="1" applyBorder="1" applyAlignment="1" applyProtection="1">
      <alignment horizontal="center"/>
      <protection locked="0"/>
    </xf>
    <xf numFmtId="0" fontId="0" fillId="0" borderId="12" xfId="0" applyNumberFormat="1" applyBorder="1" applyAlignment="1" applyProtection="1">
      <alignment horizontal="center"/>
      <protection locked="0"/>
    </xf>
    <xf numFmtId="0" fontId="0" fillId="0" borderId="0" xfId="0" applyNumberFormat="1"/>
    <xf numFmtId="0" fontId="0" fillId="0" borderId="10" xfId="0" quotePrefix="1" applyBorder="1" applyAlignment="1">
      <alignment horizontal="center" vertical="center"/>
    </xf>
    <xf numFmtId="0" fontId="0" fillId="0" borderId="11" xfId="0" quotePrefix="1" applyBorder="1" applyAlignment="1">
      <alignment horizontal="center" vertical="center"/>
    </xf>
    <xf numFmtId="0" fontId="0" fillId="0" borderId="12" xfId="0" quotePrefix="1" applyBorder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49" fontId="0" fillId="5" borderId="10" xfId="0" applyNumberFormat="1" applyFill="1" applyBorder="1" applyAlignment="1" applyProtection="1">
      <alignment horizontal="center" vertical="center" textRotation="90"/>
      <protection locked="0"/>
    </xf>
    <xf numFmtId="44" fontId="0" fillId="0" borderId="0" xfId="1" applyFont="1" applyBorder="1"/>
    <xf numFmtId="44" fontId="0" fillId="0" borderId="7" xfId="1" applyFont="1" applyFill="1" applyBorder="1"/>
    <xf numFmtId="49" fontId="0" fillId="5" borderId="10" xfId="0" applyNumberFormat="1" applyFill="1" applyBorder="1" applyAlignment="1">
      <alignment horizontal="center" vertical="center"/>
    </xf>
    <xf numFmtId="0" fontId="3" fillId="0" borderId="1" xfId="0" applyFont="1" applyBorder="1" applyAlignment="1" applyProtection="1">
      <alignment horizontal="center" vertical="top"/>
    </xf>
    <xf numFmtId="0" fontId="3" fillId="0" borderId="2" xfId="0" applyFont="1" applyBorder="1" applyAlignment="1" applyProtection="1">
      <alignment horizontal="center" vertical="top"/>
    </xf>
    <xf numFmtId="0" fontId="3" fillId="0" borderId="3" xfId="0" applyFont="1" applyBorder="1" applyAlignment="1" applyProtection="1">
      <alignment horizontal="center" vertical="top"/>
    </xf>
    <xf numFmtId="0" fontId="4" fillId="0" borderId="4" xfId="0" applyFont="1" applyBorder="1" applyAlignment="1" applyProtection="1">
      <alignment horizontal="center" vertical="top"/>
    </xf>
    <xf numFmtId="0" fontId="4" fillId="0" borderId="0" xfId="0" applyFont="1" applyBorder="1" applyAlignment="1" applyProtection="1">
      <alignment horizontal="center" vertical="top"/>
    </xf>
    <xf numFmtId="0" fontId="4" fillId="0" borderId="5" xfId="0" applyFont="1" applyBorder="1" applyAlignment="1" applyProtection="1">
      <alignment horizontal="center" vertical="top"/>
    </xf>
    <xf numFmtId="0" fontId="2" fillId="2" borderId="4" xfId="0" applyFont="1" applyFill="1" applyBorder="1" applyAlignment="1" applyProtection="1">
      <alignment horizontal="right" vertical="top"/>
    </xf>
    <xf numFmtId="0" fontId="2" fillId="2" borderId="0" xfId="0" applyFont="1" applyFill="1" applyBorder="1" applyAlignment="1" applyProtection="1">
      <alignment horizontal="right" vertical="top"/>
    </xf>
    <xf numFmtId="0" fontId="2" fillId="2" borderId="5" xfId="0" applyFont="1" applyFill="1" applyBorder="1" applyAlignment="1" applyProtection="1">
      <alignment horizontal="right" vertical="top"/>
    </xf>
    <xf numFmtId="0" fontId="0" fillId="0" borderId="6" xfId="0" applyBorder="1" applyAlignment="1" applyProtection="1">
      <alignment horizontal="center" vertical="top"/>
    </xf>
    <xf numFmtId="0" fontId="0" fillId="0" borderId="7" xfId="0" applyBorder="1" applyAlignment="1" applyProtection="1">
      <alignment horizontal="center" vertical="top"/>
    </xf>
    <xf numFmtId="0" fontId="0" fillId="0" borderId="8" xfId="0" applyBorder="1" applyAlignment="1" applyProtection="1">
      <alignment horizontal="center" vertical="top"/>
    </xf>
    <xf numFmtId="0" fontId="3" fillId="0" borderId="1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top"/>
    </xf>
    <xf numFmtId="0" fontId="4" fillId="0" borderId="4" xfId="0" applyFont="1" applyBorder="1" applyAlignment="1">
      <alignment horizontal="center" vertical="top"/>
    </xf>
    <xf numFmtId="0" fontId="4" fillId="0" borderId="0" xfId="0" applyFont="1" applyBorder="1" applyAlignment="1">
      <alignment horizontal="center" vertical="top"/>
    </xf>
    <xf numFmtId="0" fontId="2" fillId="2" borderId="4" xfId="0" applyFont="1" applyFill="1" applyBorder="1" applyAlignment="1">
      <alignment horizontal="right" vertical="top"/>
    </xf>
    <xf numFmtId="0" fontId="2" fillId="2" borderId="0" xfId="0" applyFont="1" applyFill="1" applyBorder="1" applyAlignment="1">
      <alignment horizontal="right" vertical="top"/>
    </xf>
    <xf numFmtId="0" fontId="0" fillId="0" borderId="4" xfId="0" applyBorder="1" applyAlignment="1">
      <alignment horizontal="center" vertical="top"/>
    </xf>
    <xf numFmtId="0" fontId="0" fillId="0" borderId="0" xfId="0" applyBorder="1" applyAlignment="1">
      <alignment horizontal="center" vertical="top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215901</xdr:colOff>
      <xdr:row>0</xdr:row>
      <xdr:rowOff>38100</xdr:rowOff>
    </xdr:from>
    <xdr:to>
      <xdr:col>3</xdr:col>
      <xdr:colOff>431801</xdr:colOff>
      <xdr:row>4</xdr:row>
      <xdr:rowOff>183991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1" y="38100"/>
          <a:ext cx="3073400" cy="907891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</xdr:row>
      <xdr:rowOff>9525</xdr:rowOff>
    </xdr:from>
    <xdr:to>
      <xdr:col>5</xdr:col>
      <xdr:colOff>742950</xdr:colOff>
      <xdr:row>6</xdr:row>
      <xdr:rowOff>190500</xdr:rowOff>
    </xdr:to>
    <xdr:sp macro="[0]!Módulo1.REGISTRO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743450" y="781050"/>
          <a:ext cx="1504950" cy="771525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 i="1">
              <a:latin typeface="Century Gothic" panose="020B0502020202020204" pitchFamily="34" charset="0"/>
            </a:rPr>
            <a:t>CHECAR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215901</xdr:colOff>
      <xdr:row>0</xdr:row>
      <xdr:rowOff>38100</xdr:rowOff>
    </xdr:from>
    <xdr:to>
      <xdr:col>3</xdr:col>
      <xdr:colOff>227714</xdr:colOff>
      <xdr:row>4</xdr:row>
      <xdr:rowOff>183991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1" y="38100"/>
          <a:ext cx="3071719" cy="9197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C10"/>
  <sheetViews>
    <sheetView workbookViewId="0"/>
  </sheetViews>
  <sheetFormatPr baseColWidth="10" defaultRowHeight="15" x14ac:dyDescent="0.25"/>
  <cols>
    <col min="2" max="2" width="21.7109375" customWidth="1"/>
  </cols>
  <sheetData>
    <row r="1" spans="1:3" ht="15.75" thickBot="1" x14ac:dyDescent="0.3">
      <c r="A1" s="2" t="s">
        <v>1</v>
      </c>
      <c r="B1" s="2" t="s">
        <v>2</v>
      </c>
      <c r="C1" s="2" t="s">
        <v>26</v>
      </c>
    </row>
    <row r="2" spans="1:3" x14ac:dyDescent="0.25">
      <c r="A2" s="3" t="s">
        <v>4</v>
      </c>
      <c r="B2" s="4" t="s">
        <v>5</v>
      </c>
      <c r="C2" s="3" t="s">
        <v>25</v>
      </c>
    </row>
    <row r="3" spans="1:3" x14ac:dyDescent="0.25">
      <c r="A3" s="6" t="s">
        <v>6</v>
      </c>
      <c r="B3" s="7" t="s">
        <v>7</v>
      </c>
      <c r="C3" s="6" t="s">
        <v>22</v>
      </c>
    </row>
    <row r="4" spans="1:3" x14ac:dyDescent="0.25">
      <c r="A4" s="6" t="s">
        <v>8</v>
      </c>
      <c r="B4" s="7" t="s">
        <v>9</v>
      </c>
      <c r="C4" s="6"/>
    </row>
    <row r="5" spans="1:3" x14ac:dyDescent="0.25">
      <c r="A5" s="6" t="s">
        <v>10</v>
      </c>
      <c r="B5" s="7" t="s">
        <v>11</v>
      </c>
      <c r="C5" s="6"/>
    </row>
    <row r="6" spans="1:3" x14ac:dyDescent="0.25">
      <c r="A6" s="6" t="s">
        <v>12</v>
      </c>
      <c r="B6" s="7" t="s">
        <v>13</v>
      </c>
      <c r="C6" s="6"/>
    </row>
    <row r="7" spans="1:3" x14ac:dyDescent="0.25">
      <c r="A7" s="6" t="s">
        <v>14</v>
      </c>
      <c r="B7" s="9" t="s">
        <v>15</v>
      </c>
      <c r="C7" s="6"/>
    </row>
    <row r="8" spans="1:3" x14ac:dyDescent="0.25">
      <c r="A8" s="6" t="s">
        <v>16</v>
      </c>
      <c r="B8" s="10" t="s">
        <v>34</v>
      </c>
      <c r="C8" s="6"/>
    </row>
    <row r="9" spans="1:3" x14ac:dyDescent="0.25">
      <c r="A9" s="6" t="s">
        <v>17</v>
      </c>
      <c r="B9" s="22" t="s">
        <v>33</v>
      </c>
      <c r="C9" s="22"/>
    </row>
    <row r="10" spans="1:3" ht="15.75" thickBot="1" x14ac:dyDescent="0.3">
      <c r="A10" s="12" t="s">
        <v>29</v>
      </c>
      <c r="B10" s="25" t="s">
        <v>32</v>
      </c>
      <c r="C10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I94"/>
  <sheetViews>
    <sheetView zoomScaleNormal="100" workbookViewId="0">
      <selection activeCell="J15" sqref="J15"/>
    </sheetView>
  </sheetViews>
  <sheetFormatPr baseColWidth="10" defaultRowHeight="15" x14ac:dyDescent="0.25"/>
  <cols>
    <col min="1" max="1" width="16.140625" bestFit="1" customWidth="1"/>
    <col min="2" max="2" width="8.28515625" bestFit="1" customWidth="1"/>
    <col min="3" max="3" width="21.42578125" bestFit="1" customWidth="1"/>
    <col min="5" max="6" width="16.140625" style="48" bestFit="1" customWidth="1"/>
    <col min="7" max="7" width="9.140625" style="43" bestFit="1" customWidth="1"/>
    <col min="9" max="9" width="11.42578125" style="51"/>
  </cols>
  <sheetData>
    <row r="1" spans="1:9" x14ac:dyDescent="0.25">
      <c r="A1" s="52" t="s">
        <v>128</v>
      </c>
      <c r="B1" s="53" t="s">
        <v>1</v>
      </c>
      <c r="C1" s="53" t="s">
        <v>2</v>
      </c>
      <c r="D1" s="53" t="s">
        <v>30</v>
      </c>
      <c r="E1" s="54" t="s">
        <v>25</v>
      </c>
      <c r="F1" s="54" t="s">
        <v>22</v>
      </c>
      <c r="G1" s="55" t="s">
        <v>31</v>
      </c>
      <c r="I1"/>
    </row>
    <row r="2" spans="1:9" x14ac:dyDescent="0.25">
      <c r="A2" s="56" t="s">
        <v>38</v>
      </c>
      <c r="B2" s="59" t="s">
        <v>16</v>
      </c>
      <c r="C2" s="57" t="s">
        <v>34</v>
      </c>
      <c r="D2" s="61">
        <v>44408</v>
      </c>
      <c r="E2" s="50">
        <v>44408</v>
      </c>
      <c r="F2" s="50">
        <v>44409</v>
      </c>
      <c r="G2" s="58">
        <f>F2-E2</f>
        <v>1</v>
      </c>
      <c r="I2"/>
    </row>
    <row r="3" spans="1:9" x14ac:dyDescent="0.25">
      <c r="A3" s="56" t="s">
        <v>39</v>
      </c>
      <c r="B3" s="59" t="s">
        <v>10</v>
      </c>
      <c r="C3" s="57" t="s">
        <v>11</v>
      </c>
      <c r="D3" s="61">
        <v>44408</v>
      </c>
      <c r="E3" s="50">
        <v>44408</v>
      </c>
      <c r="F3" s="50">
        <v>44409</v>
      </c>
      <c r="G3" s="58">
        <f>F3-E3</f>
        <v>1</v>
      </c>
      <c r="I3"/>
    </row>
    <row r="4" spans="1:9" x14ac:dyDescent="0.25">
      <c r="A4" s="56" t="s">
        <v>40</v>
      </c>
      <c r="B4" s="59" t="s">
        <v>4</v>
      </c>
      <c r="C4" s="57" t="s">
        <v>5</v>
      </c>
      <c r="D4" s="61">
        <v>44408</v>
      </c>
      <c r="E4" s="50">
        <v>44408</v>
      </c>
      <c r="F4" s="50">
        <v>44409</v>
      </c>
      <c r="G4" s="58">
        <f t="shared" ref="G4" si="0">F4-E4</f>
        <v>1</v>
      </c>
      <c r="I4"/>
    </row>
    <row r="5" spans="1:9" x14ac:dyDescent="0.25">
      <c r="A5" s="56" t="s">
        <v>47</v>
      </c>
      <c r="B5" s="59" t="s">
        <v>29</v>
      </c>
      <c r="C5" s="59" t="s">
        <v>32</v>
      </c>
      <c r="D5" s="61">
        <v>44407</v>
      </c>
      <c r="E5" s="50">
        <v>44407</v>
      </c>
      <c r="F5" s="50">
        <v>44408</v>
      </c>
      <c r="G5" s="58">
        <f t="shared" ref="G5:G12" si="1">F5-E5</f>
        <v>1</v>
      </c>
      <c r="I5"/>
    </row>
    <row r="6" spans="1:9" x14ac:dyDescent="0.25">
      <c r="A6" s="56" t="s">
        <v>48</v>
      </c>
      <c r="B6" s="59" t="s">
        <v>14</v>
      </c>
      <c r="C6" s="59" t="s">
        <v>15</v>
      </c>
      <c r="D6" s="61">
        <v>44407</v>
      </c>
      <c r="E6" s="50">
        <v>44407</v>
      </c>
      <c r="F6" s="50">
        <v>44408</v>
      </c>
      <c r="G6" s="58">
        <f t="shared" si="1"/>
        <v>1</v>
      </c>
      <c r="I6"/>
    </row>
    <row r="7" spans="1:9" x14ac:dyDescent="0.25">
      <c r="A7" s="56" t="s">
        <v>49</v>
      </c>
      <c r="B7" s="59" t="s">
        <v>8</v>
      </c>
      <c r="C7" s="59" t="s">
        <v>9</v>
      </c>
      <c r="D7" s="61">
        <v>44407</v>
      </c>
      <c r="E7" s="50">
        <v>44407</v>
      </c>
      <c r="F7" s="50">
        <v>44408</v>
      </c>
      <c r="G7" s="58">
        <f t="shared" si="1"/>
        <v>1</v>
      </c>
      <c r="I7"/>
    </row>
    <row r="8" spans="1:9" x14ac:dyDescent="0.25">
      <c r="A8" s="56" t="s">
        <v>50</v>
      </c>
      <c r="B8" s="59" t="s">
        <v>17</v>
      </c>
      <c r="C8" s="60" t="s">
        <v>33</v>
      </c>
      <c r="D8" s="61">
        <v>44406</v>
      </c>
      <c r="E8" s="50">
        <v>44406</v>
      </c>
      <c r="F8" s="50">
        <v>44407</v>
      </c>
      <c r="G8" s="58">
        <f t="shared" si="1"/>
        <v>1</v>
      </c>
      <c r="I8"/>
    </row>
    <row r="9" spans="1:9" x14ac:dyDescent="0.25">
      <c r="A9" s="56" t="s">
        <v>51</v>
      </c>
      <c r="B9" s="59" t="s">
        <v>12</v>
      </c>
      <c r="C9" s="60" t="s">
        <v>13</v>
      </c>
      <c r="D9" s="61">
        <v>44406</v>
      </c>
      <c r="E9" s="50">
        <v>44406</v>
      </c>
      <c r="F9" s="50">
        <v>44407</v>
      </c>
      <c r="G9" s="58">
        <f t="shared" si="1"/>
        <v>1</v>
      </c>
      <c r="I9"/>
    </row>
    <row r="10" spans="1:9" x14ac:dyDescent="0.25">
      <c r="A10" s="56" t="s">
        <v>52</v>
      </c>
      <c r="B10" s="59" t="s">
        <v>6</v>
      </c>
      <c r="C10" s="60" t="s">
        <v>7</v>
      </c>
      <c r="D10" s="61">
        <v>44406</v>
      </c>
      <c r="E10" s="50">
        <v>44406</v>
      </c>
      <c r="F10" s="50">
        <v>44407</v>
      </c>
      <c r="G10" s="58">
        <f t="shared" si="1"/>
        <v>1</v>
      </c>
      <c r="I10"/>
    </row>
    <row r="11" spans="1:9" x14ac:dyDescent="0.25">
      <c r="A11" s="56" t="s">
        <v>53</v>
      </c>
      <c r="B11" s="59" t="s">
        <v>16</v>
      </c>
      <c r="C11" s="57" t="s">
        <v>34</v>
      </c>
      <c r="D11" s="61">
        <v>44405</v>
      </c>
      <c r="E11" s="50">
        <v>44405</v>
      </c>
      <c r="F11" s="50">
        <v>44406</v>
      </c>
      <c r="G11" s="58">
        <f t="shared" si="1"/>
        <v>1</v>
      </c>
      <c r="I11"/>
    </row>
    <row r="12" spans="1:9" x14ac:dyDescent="0.25">
      <c r="A12" s="56" t="s">
        <v>54</v>
      </c>
      <c r="B12" s="59" t="s">
        <v>10</v>
      </c>
      <c r="C12" s="57" t="s">
        <v>11</v>
      </c>
      <c r="D12" s="61">
        <v>44405</v>
      </c>
      <c r="E12" s="50">
        <v>44405</v>
      </c>
      <c r="F12" s="50">
        <v>44406</v>
      </c>
      <c r="G12" s="58">
        <f t="shared" si="1"/>
        <v>1</v>
      </c>
      <c r="I12"/>
    </row>
    <row r="13" spans="1:9" x14ac:dyDescent="0.25">
      <c r="A13" s="56" t="s">
        <v>55</v>
      </c>
      <c r="B13" s="59" t="s">
        <v>4</v>
      </c>
      <c r="C13" s="57" t="s">
        <v>5</v>
      </c>
      <c r="D13" s="61">
        <v>44405</v>
      </c>
      <c r="E13" s="50">
        <v>44405</v>
      </c>
      <c r="F13" s="50">
        <v>44406</v>
      </c>
      <c r="G13" s="58">
        <f t="shared" ref="G13" si="2">F13-E13</f>
        <v>1</v>
      </c>
      <c r="I13"/>
    </row>
    <row r="14" spans="1:9" x14ac:dyDescent="0.25">
      <c r="A14" s="56" t="s">
        <v>56</v>
      </c>
      <c r="B14" s="59" t="s">
        <v>29</v>
      </c>
      <c r="C14" s="59" t="s">
        <v>32</v>
      </c>
      <c r="D14" s="61">
        <v>44404</v>
      </c>
      <c r="E14" s="50">
        <v>44404</v>
      </c>
      <c r="F14" s="50">
        <v>44405</v>
      </c>
      <c r="G14" s="58">
        <f t="shared" ref="G14:G21" si="3">F14-E14</f>
        <v>1</v>
      </c>
      <c r="I14"/>
    </row>
    <row r="15" spans="1:9" x14ac:dyDescent="0.25">
      <c r="A15" s="56" t="s">
        <v>57</v>
      </c>
      <c r="B15" s="59" t="s">
        <v>14</v>
      </c>
      <c r="C15" s="59" t="s">
        <v>15</v>
      </c>
      <c r="D15" s="61">
        <v>44404</v>
      </c>
      <c r="E15" s="50">
        <v>44404</v>
      </c>
      <c r="F15" s="50">
        <v>44405</v>
      </c>
      <c r="G15" s="58">
        <f t="shared" si="3"/>
        <v>1</v>
      </c>
      <c r="I15"/>
    </row>
    <row r="16" spans="1:9" x14ac:dyDescent="0.25">
      <c r="A16" s="56" t="s">
        <v>58</v>
      </c>
      <c r="B16" s="59" t="s">
        <v>8</v>
      </c>
      <c r="C16" s="59" t="s">
        <v>9</v>
      </c>
      <c r="D16" s="61">
        <v>44404</v>
      </c>
      <c r="E16" s="50">
        <v>44404</v>
      </c>
      <c r="F16" s="50">
        <v>44405</v>
      </c>
      <c r="G16" s="58">
        <f t="shared" si="3"/>
        <v>1</v>
      </c>
      <c r="I16"/>
    </row>
    <row r="17" spans="1:9" x14ac:dyDescent="0.25">
      <c r="A17" s="56" t="s">
        <v>59</v>
      </c>
      <c r="B17" s="59" t="s">
        <v>17</v>
      </c>
      <c r="C17" s="60" t="s">
        <v>33</v>
      </c>
      <c r="D17" s="61">
        <v>44403</v>
      </c>
      <c r="E17" s="50">
        <v>44403</v>
      </c>
      <c r="F17" s="50">
        <v>44404</v>
      </c>
      <c r="G17" s="58">
        <f t="shared" si="3"/>
        <v>1</v>
      </c>
      <c r="I17"/>
    </row>
    <row r="18" spans="1:9" x14ac:dyDescent="0.25">
      <c r="A18" s="56" t="s">
        <v>60</v>
      </c>
      <c r="B18" s="59" t="s">
        <v>12</v>
      </c>
      <c r="C18" s="60" t="s">
        <v>13</v>
      </c>
      <c r="D18" s="61">
        <v>44403</v>
      </c>
      <c r="E18" s="50">
        <v>44403</v>
      </c>
      <c r="F18" s="50">
        <v>44404</v>
      </c>
      <c r="G18" s="58">
        <f t="shared" si="3"/>
        <v>1</v>
      </c>
      <c r="I18"/>
    </row>
    <row r="19" spans="1:9" x14ac:dyDescent="0.25">
      <c r="A19" s="56" t="s">
        <v>61</v>
      </c>
      <c r="B19" s="59" t="s">
        <v>6</v>
      </c>
      <c r="C19" s="60" t="s">
        <v>7</v>
      </c>
      <c r="D19" s="61">
        <v>44403</v>
      </c>
      <c r="E19" s="50">
        <v>44403</v>
      </c>
      <c r="F19" s="50">
        <v>44404</v>
      </c>
      <c r="G19" s="58">
        <f t="shared" si="3"/>
        <v>1</v>
      </c>
      <c r="I19"/>
    </row>
    <row r="20" spans="1:9" x14ac:dyDescent="0.25">
      <c r="A20" s="56" t="s">
        <v>62</v>
      </c>
      <c r="B20" s="59" t="s">
        <v>16</v>
      </c>
      <c r="C20" s="57" t="s">
        <v>34</v>
      </c>
      <c r="D20" s="61">
        <v>44402</v>
      </c>
      <c r="E20" s="50">
        <v>44402</v>
      </c>
      <c r="F20" s="50">
        <v>44403</v>
      </c>
      <c r="G20" s="58">
        <f t="shared" si="3"/>
        <v>1</v>
      </c>
      <c r="I20"/>
    </row>
    <row r="21" spans="1:9" x14ac:dyDescent="0.25">
      <c r="A21" s="56" t="s">
        <v>63</v>
      </c>
      <c r="B21" s="59" t="s">
        <v>10</v>
      </c>
      <c r="C21" s="57" t="s">
        <v>11</v>
      </c>
      <c r="D21" s="61">
        <v>44402</v>
      </c>
      <c r="E21" s="50">
        <v>44402</v>
      </c>
      <c r="F21" s="50">
        <v>44403</v>
      </c>
      <c r="G21" s="58">
        <f t="shared" si="3"/>
        <v>1</v>
      </c>
      <c r="I21"/>
    </row>
    <row r="22" spans="1:9" x14ac:dyDescent="0.25">
      <c r="A22" s="56" t="s">
        <v>64</v>
      </c>
      <c r="B22" s="59" t="s">
        <v>4</v>
      </c>
      <c r="C22" s="57" t="s">
        <v>5</v>
      </c>
      <c r="D22" s="61">
        <v>44402</v>
      </c>
      <c r="E22" s="50">
        <v>44402</v>
      </c>
      <c r="F22" s="50">
        <v>44403</v>
      </c>
      <c r="G22" s="58">
        <f t="shared" ref="G22" si="4">F22-E22</f>
        <v>1</v>
      </c>
      <c r="I22"/>
    </row>
    <row r="23" spans="1:9" x14ac:dyDescent="0.25">
      <c r="A23" s="56" t="s">
        <v>65</v>
      </c>
      <c r="B23" s="59" t="s">
        <v>29</v>
      </c>
      <c r="C23" s="59" t="s">
        <v>32</v>
      </c>
      <c r="D23" s="61">
        <v>44401</v>
      </c>
      <c r="E23" s="50">
        <v>44401</v>
      </c>
      <c r="F23" s="50">
        <v>44402</v>
      </c>
      <c r="G23" s="58">
        <f t="shared" ref="G23:G30" si="5">F23-E23</f>
        <v>1</v>
      </c>
      <c r="I23"/>
    </row>
    <row r="24" spans="1:9" x14ac:dyDescent="0.25">
      <c r="A24" s="56" t="s">
        <v>66</v>
      </c>
      <c r="B24" s="59" t="s">
        <v>14</v>
      </c>
      <c r="C24" s="59" t="s">
        <v>15</v>
      </c>
      <c r="D24" s="61">
        <v>44401</v>
      </c>
      <c r="E24" s="50">
        <v>44401</v>
      </c>
      <c r="F24" s="50">
        <v>44402</v>
      </c>
      <c r="G24" s="58">
        <f t="shared" si="5"/>
        <v>1</v>
      </c>
      <c r="I24"/>
    </row>
    <row r="25" spans="1:9" x14ac:dyDescent="0.25">
      <c r="A25" s="56" t="s">
        <v>67</v>
      </c>
      <c r="B25" s="59" t="s">
        <v>8</v>
      </c>
      <c r="C25" s="59" t="s">
        <v>9</v>
      </c>
      <c r="D25" s="61">
        <v>44401</v>
      </c>
      <c r="E25" s="50">
        <v>44401</v>
      </c>
      <c r="F25" s="50">
        <v>44402</v>
      </c>
      <c r="G25" s="58">
        <f t="shared" si="5"/>
        <v>1</v>
      </c>
      <c r="I25"/>
    </row>
    <row r="26" spans="1:9" x14ac:dyDescent="0.25">
      <c r="A26" s="56" t="s">
        <v>68</v>
      </c>
      <c r="B26" s="59" t="s">
        <v>17</v>
      </c>
      <c r="C26" s="60" t="s">
        <v>33</v>
      </c>
      <c r="D26" s="61">
        <v>44400</v>
      </c>
      <c r="E26" s="50">
        <v>44400</v>
      </c>
      <c r="F26" s="50">
        <v>44401</v>
      </c>
      <c r="G26" s="58">
        <f t="shared" si="5"/>
        <v>1</v>
      </c>
      <c r="I26"/>
    </row>
    <row r="27" spans="1:9" x14ac:dyDescent="0.25">
      <c r="A27" s="56" t="s">
        <v>69</v>
      </c>
      <c r="B27" s="59" t="s">
        <v>12</v>
      </c>
      <c r="C27" s="60" t="s">
        <v>13</v>
      </c>
      <c r="D27" s="61">
        <v>44400</v>
      </c>
      <c r="E27" s="50">
        <v>44400</v>
      </c>
      <c r="F27" s="50">
        <v>44401</v>
      </c>
      <c r="G27" s="58">
        <f t="shared" si="5"/>
        <v>1</v>
      </c>
      <c r="I27"/>
    </row>
    <row r="28" spans="1:9" x14ac:dyDescent="0.25">
      <c r="A28" s="56" t="s">
        <v>70</v>
      </c>
      <c r="B28" s="59" t="s">
        <v>6</v>
      </c>
      <c r="C28" s="60" t="s">
        <v>7</v>
      </c>
      <c r="D28" s="61">
        <v>44400</v>
      </c>
      <c r="E28" s="50">
        <v>44400</v>
      </c>
      <c r="F28" s="50">
        <v>44401</v>
      </c>
      <c r="G28" s="58">
        <f t="shared" si="5"/>
        <v>1</v>
      </c>
      <c r="I28"/>
    </row>
    <row r="29" spans="1:9" x14ac:dyDescent="0.25">
      <c r="A29" s="56" t="s">
        <v>71</v>
      </c>
      <c r="B29" s="59" t="s">
        <v>16</v>
      </c>
      <c r="C29" s="57" t="s">
        <v>34</v>
      </c>
      <c r="D29" s="61">
        <v>44399</v>
      </c>
      <c r="E29" s="50">
        <v>44399</v>
      </c>
      <c r="F29" s="50">
        <v>44400</v>
      </c>
      <c r="G29" s="58">
        <f t="shared" si="5"/>
        <v>1</v>
      </c>
      <c r="I29"/>
    </row>
    <row r="30" spans="1:9" x14ac:dyDescent="0.25">
      <c r="A30" s="56" t="s">
        <v>72</v>
      </c>
      <c r="B30" s="59" t="s">
        <v>10</v>
      </c>
      <c r="C30" s="57" t="s">
        <v>11</v>
      </c>
      <c r="D30" s="61">
        <v>44399</v>
      </c>
      <c r="E30" s="50">
        <v>44399</v>
      </c>
      <c r="F30" s="50">
        <v>44400</v>
      </c>
      <c r="G30" s="58">
        <f t="shared" si="5"/>
        <v>1</v>
      </c>
      <c r="I30"/>
    </row>
    <row r="31" spans="1:9" x14ac:dyDescent="0.25">
      <c r="A31" s="56" t="s">
        <v>73</v>
      </c>
      <c r="B31" s="59" t="s">
        <v>4</v>
      </c>
      <c r="C31" s="57" t="s">
        <v>5</v>
      </c>
      <c r="D31" s="61">
        <v>44399</v>
      </c>
      <c r="E31" s="50">
        <v>44399</v>
      </c>
      <c r="F31" s="50">
        <v>44400</v>
      </c>
      <c r="G31" s="58">
        <f t="shared" ref="G31" si="6">F31-E31</f>
        <v>1</v>
      </c>
      <c r="I31"/>
    </row>
    <row r="32" spans="1:9" x14ac:dyDescent="0.25">
      <c r="A32" s="56" t="s">
        <v>74</v>
      </c>
      <c r="B32" s="59" t="s">
        <v>29</v>
      </c>
      <c r="C32" s="59" t="s">
        <v>32</v>
      </c>
      <c r="D32" s="61">
        <v>44398</v>
      </c>
      <c r="E32" s="50">
        <v>44398</v>
      </c>
      <c r="F32" s="50">
        <v>44399</v>
      </c>
      <c r="G32" s="58">
        <f t="shared" ref="G32:G39" si="7">F32-E32</f>
        <v>1</v>
      </c>
      <c r="I32"/>
    </row>
    <row r="33" spans="1:9" x14ac:dyDescent="0.25">
      <c r="A33" s="56" t="s">
        <v>75</v>
      </c>
      <c r="B33" s="59" t="s">
        <v>14</v>
      </c>
      <c r="C33" s="59" t="s">
        <v>15</v>
      </c>
      <c r="D33" s="61">
        <v>44398</v>
      </c>
      <c r="E33" s="50">
        <v>44398</v>
      </c>
      <c r="F33" s="50">
        <v>44399</v>
      </c>
      <c r="G33" s="58">
        <f t="shared" si="7"/>
        <v>1</v>
      </c>
      <c r="I33"/>
    </row>
    <row r="34" spans="1:9" x14ac:dyDescent="0.25">
      <c r="A34" s="56" t="s">
        <v>76</v>
      </c>
      <c r="B34" s="59" t="s">
        <v>8</v>
      </c>
      <c r="C34" s="59" t="s">
        <v>9</v>
      </c>
      <c r="D34" s="61">
        <v>44398</v>
      </c>
      <c r="E34" s="50">
        <v>44398</v>
      </c>
      <c r="F34" s="50">
        <v>44399</v>
      </c>
      <c r="G34" s="58">
        <f t="shared" si="7"/>
        <v>1</v>
      </c>
      <c r="I34"/>
    </row>
    <row r="35" spans="1:9" x14ac:dyDescent="0.25">
      <c r="A35" s="56" t="s">
        <v>77</v>
      </c>
      <c r="B35" s="59" t="s">
        <v>17</v>
      </c>
      <c r="C35" s="60" t="s">
        <v>33</v>
      </c>
      <c r="D35" s="61">
        <v>44397</v>
      </c>
      <c r="E35" s="50">
        <v>44397</v>
      </c>
      <c r="F35" s="50">
        <v>44398</v>
      </c>
      <c r="G35" s="58">
        <f t="shared" si="7"/>
        <v>1</v>
      </c>
      <c r="I35"/>
    </row>
    <row r="36" spans="1:9" x14ac:dyDescent="0.25">
      <c r="A36" s="56" t="s">
        <v>78</v>
      </c>
      <c r="B36" s="59" t="s">
        <v>12</v>
      </c>
      <c r="C36" s="60" t="s">
        <v>13</v>
      </c>
      <c r="D36" s="61">
        <v>44397</v>
      </c>
      <c r="E36" s="50">
        <v>44397</v>
      </c>
      <c r="F36" s="50">
        <v>44398</v>
      </c>
      <c r="G36" s="58">
        <f t="shared" si="7"/>
        <v>1</v>
      </c>
      <c r="I36"/>
    </row>
    <row r="37" spans="1:9" x14ac:dyDescent="0.25">
      <c r="A37" s="56" t="s">
        <v>79</v>
      </c>
      <c r="B37" s="59" t="s">
        <v>6</v>
      </c>
      <c r="C37" s="60" t="s">
        <v>7</v>
      </c>
      <c r="D37" s="61">
        <v>44397</v>
      </c>
      <c r="E37" s="50">
        <v>44397</v>
      </c>
      <c r="F37" s="50">
        <v>44398</v>
      </c>
      <c r="G37" s="58">
        <f t="shared" si="7"/>
        <v>1</v>
      </c>
      <c r="I37"/>
    </row>
    <row r="38" spans="1:9" x14ac:dyDescent="0.25">
      <c r="A38" s="56" t="s">
        <v>80</v>
      </c>
      <c r="B38" s="59" t="s">
        <v>16</v>
      </c>
      <c r="C38" s="57" t="s">
        <v>34</v>
      </c>
      <c r="D38" s="61">
        <v>44396</v>
      </c>
      <c r="E38" s="50">
        <v>44396</v>
      </c>
      <c r="F38" s="50">
        <v>44397</v>
      </c>
      <c r="G38" s="58">
        <f t="shared" si="7"/>
        <v>1</v>
      </c>
      <c r="I38"/>
    </row>
    <row r="39" spans="1:9" x14ac:dyDescent="0.25">
      <c r="A39" s="56" t="s">
        <v>81</v>
      </c>
      <c r="B39" s="59" t="s">
        <v>10</v>
      </c>
      <c r="C39" s="57" t="s">
        <v>11</v>
      </c>
      <c r="D39" s="61">
        <v>44396</v>
      </c>
      <c r="E39" s="50">
        <v>44396</v>
      </c>
      <c r="F39" s="50">
        <v>44397</v>
      </c>
      <c r="G39" s="58">
        <f t="shared" si="7"/>
        <v>1</v>
      </c>
      <c r="I39"/>
    </row>
    <row r="40" spans="1:9" x14ac:dyDescent="0.25">
      <c r="A40" s="56" t="s">
        <v>82</v>
      </c>
      <c r="B40" s="59" t="s">
        <v>4</v>
      </c>
      <c r="C40" s="57" t="s">
        <v>5</v>
      </c>
      <c r="D40" s="61">
        <v>44396</v>
      </c>
      <c r="E40" s="50">
        <v>44396</v>
      </c>
      <c r="F40" s="50">
        <v>44397</v>
      </c>
      <c r="G40" s="58">
        <f t="shared" ref="G40" si="8">F40-E40</f>
        <v>1</v>
      </c>
      <c r="I40"/>
    </row>
    <row r="41" spans="1:9" x14ac:dyDescent="0.25">
      <c r="A41" s="56" t="s">
        <v>83</v>
      </c>
      <c r="B41" s="59" t="s">
        <v>29</v>
      </c>
      <c r="C41" s="59" t="s">
        <v>32</v>
      </c>
      <c r="D41" s="61">
        <v>44395</v>
      </c>
      <c r="E41" s="50">
        <v>44395</v>
      </c>
      <c r="F41" s="50">
        <v>44396</v>
      </c>
      <c r="G41" s="58">
        <f t="shared" ref="G41:G48" si="9">F41-E41</f>
        <v>1</v>
      </c>
      <c r="I41"/>
    </row>
    <row r="42" spans="1:9" x14ac:dyDescent="0.25">
      <c r="A42" s="56" t="s">
        <v>84</v>
      </c>
      <c r="B42" s="59" t="s">
        <v>14</v>
      </c>
      <c r="C42" s="59" t="s">
        <v>15</v>
      </c>
      <c r="D42" s="61">
        <v>44395</v>
      </c>
      <c r="E42" s="50">
        <v>44395</v>
      </c>
      <c r="F42" s="50">
        <v>44396</v>
      </c>
      <c r="G42" s="58">
        <f t="shared" si="9"/>
        <v>1</v>
      </c>
      <c r="I42"/>
    </row>
    <row r="43" spans="1:9" x14ac:dyDescent="0.25">
      <c r="A43" s="56" t="s">
        <v>85</v>
      </c>
      <c r="B43" s="59" t="s">
        <v>8</v>
      </c>
      <c r="C43" s="59" t="s">
        <v>9</v>
      </c>
      <c r="D43" s="61">
        <v>44395</v>
      </c>
      <c r="E43" s="50">
        <v>44395</v>
      </c>
      <c r="F43" s="50">
        <v>44396</v>
      </c>
      <c r="G43" s="58">
        <f t="shared" si="9"/>
        <v>1</v>
      </c>
      <c r="I43"/>
    </row>
    <row r="44" spans="1:9" x14ac:dyDescent="0.25">
      <c r="A44" s="56" t="s">
        <v>86</v>
      </c>
      <c r="B44" s="59" t="s">
        <v>17</v>
      </c>
      <c r="C44" s="60" t="s">
        <v>33</v>
      </c>
      <c r="D44" s="61">
        <v>44394</v>
      </c>
      <c r="E44" s="50">
        <v>44394</v>
      </c>
      <c r="F44" s="50">
        <v>44395</v>
      </c>
      <c r="G44" s="58">
        <f t="shared" si="9"/>
        <v>1</v>
      </c>
      <c r="I44"/>
    </row>
    <row r="45" spans="1:9" x14ac:dyDescent="0.25">
      <c r="A45" s="56" t="s">
        <v>87</v>
      </c>
      <c r="B45" s="59" t="s">
        <v>12</v>
      </c>
      <c r="C45" s="60" t="s">
        <v>13</v>
      </c>
      <c r="D45" s="61">
        <v>44394</v>
      </c>
      <c r="E45" s="50">
        <v>44394</v>
      </c>
      <c r="F45" s="50">
        <v>44395</v>
      </c>
      <c r="G45" s="58">
        <f t="shared" si="9"/>
        <v>1</v>
      </c>
      <c r="I45"/>
    </row>
    <row r="46" spans="1:9" x14ac:dyDescent="0.25">
      <c r="A46" s="56" t="s">
        <v>88</v>
      </c>
      <c r="B46" s="59" t="s">
        <v>6</v>
      </c>
      <c r="C46" s="60" t="s">
        <v>7</v>
      </c>
      <c r="D46" s="61">
        <v>44394</v>
      </c>
      <c r="E46" s="50">
        <v>44394</v>
      </c>
      <c r="F46" s="50">
        <v>44395</v>
      </c>
      <c r="G46" s="58">
        <f t="shared" si="9"/>
        <v>1</v>
      </c>
      <c r="I46"/>
    </row>
    <row r="47" spans="1:9" x14ac:dyDescent="0.25">
      <c r="A47" s="56" t="s">
        <v>89</v>
      </c>
      <c r="B47" s="59" t="s">
        <v>16</v>
      </c>
      <c r="C47" s="57" t="s">
        <v>34</v>
      </c>
      <c r="D47" s="61">
        <v>44393</v>
      </c>
      <c r="E47" s="50">
        <v>44393</v>
      </c>
      <c r="F47" s="50">
        <v>44394</v>
      </c>
      <c r="G47" s="58">
        <f t="shared" si="9"/>
        <v>1</v>
      </c>
      <c r="I47"/>
    </row>
    <row r="48" spans="1:9" x14ac:dyDescent="0.25">
      <c r="A48" s="56" t="s">
        <v>90</v>
      </c>
      <c r="B48" s="59" t="s">
        <v>10</v>
      </c>
      <c r="C48" s="57" t="s">
        <v>11</v>
      </c>
      <c r="D48" s="61">
        <v>44393</v>
      </c>
      <c r="E48" s="50">
        <v>44393</v>
      </c>
      <c r="F48" s="50">
        <v>44394</v>
      </c>
      <c r="G48" s="58">
        <f t="shared" si="9"/>
        <v>1</v>
      </c>
      <c r="I48"/>
    </row>
    <row r="49" spans="1:9" x14ac:dyDescent="0.25">
      <c r="A49" s="56" t="s">
        <v>91</v>
      </c>
      <c r="B49" s="59" t="s">
        <v>4</v>
      </c>
      <c r="C49" s="57" t="s">
        <v>5</v>
      </c>
      <c r="D49" s="61">
        <v>44393</v>
      </c>
      <c r="E49" s="50">
        <v>44393</v>
      </c>
      <c r="F49" s="50">
        <v>44394</v>
      </c>
      <c r="G49" s="58">
        <f t="shared" ref="G49" si="10">F49-E49</f>
        <v>1</v>
      </c>
      <c r="I49"/>
    </row>
    <row r="50" spans="1:9" x14ac:dyDescent="0.25">
      <c r="A50" s="56" t="s">
        <v>92</v>
      </c>
      <c r="B50" s="59" t="s">
        <v>29</v>
      </c>
      <c r="C50" s="59" t="s">
        <v>32</v>
      </c>
      <c r="D50" s="61">
        <v>44392</v>
      </c>
      <c r="E50" s="50">
        <v>44392</v>
      </c>
      <c r="F50" s="50">
        <v>44393</v>
      </c>
      <c r="G50" s="58">
        <f t="shared" ref="G50:G57" si="11">F50-E50</f>
        <v>1</v>
      </c>
      <c r="I50"/>
    </row>
    <row r="51" spans="1:9" x14ac:dyDescent="0.25">
      <c r="A51" s="56" t="s">
        <v>93</v>
      </c>
      <c r="B51" s="59" t="s">
        <v>14</v>
      </c>
      <c r="C51" s="59" t="s">
        <v>15</v>
      </c>
      <c r="D51" s="61">
        <v>44392</v>
      </c>
      <c r="E51" s="50">
        <v>44392</v>
      </c>
      <c r="F51" s="50">
        <v>44393</v>
      </c>
      <c r="G51" s="58">
        <f t="shared" si="11"/>
        <v>1</v>
      </c>
      <c r="I51"/>
    </row>
    <row r="52" spans="1:9" x14ac:dyDescent="0.25">
      <c r="A52" s="56" t="s">
        <v>94</v>
      </c>
      <c r="B52" s="59" t="s">
        <v>8</v>
      </c>
      <c r="C52" s="59" t="s">
        <v>9</v>
      </c>
      <c r="D52" s="61">
        <v>44392</v>
      </c>
      <c r="E52" s="50">
        <v>44392</v>
      </c>
      <c r="F52" s="50">
        <v>44393</v>
      </c>
      <c r="G52" s="58">
        <f t="shared" si="11"/>
        <v>1</v>
      </c>
      <c r="I52"/>
    </row>
    <row r="53" spans="1:9" x14ac:dyDescent="0.25">
      <c r="A53" s="56" t="s">
        <v>95</v>
      </c>
      <c r="B53" s="59" t="s">
        <v>17</v>
      </c>
      <c r="C53" s="60" t="s">
        <v>33</v>
      </c>
      <c r="D53" s="61">
        <v>44391</v>
      </c>
      <c r="E53" s="50">
        <v>44391</v>
      </c>
      <c r="F53" s="50">
        <v>44392</v>
      </c>
      <c r="G53" s="58">
        <f t="shared" si="11"/>
        <v>1</v>
      </c>
      <c r="I53"/>
    </row>
    <row r="54" spans="1:9" x14ac:dyDescent="0.25">
      <c r="A54" s="56" t="s">
        <v>96</v>
      </c>
      <c r="B54" s="59" t="s">
        <v>12</v>
      </c>
      <c r="C54" s="60" t="s">
        <v>13</v>
      </c>
      <c r="D54" s="61">
        <v>44391</v>
      </c>
      <c r="E54" s="50">
        <v>44391</v>
      </c>
      <c r="F54" s="50">
        <v>44392</v>
      </c>
      <c r="G54" s="58">
        <f t="shared" si="11"/>
        <v>1</v>
      </c>
      <c r="I54"/>
    </row>
    <row r="55" spans="1:9" x14ac:dyDescent="0.25">
      <c r="A55" s="56" t="s">
        <v>97</v>
      </c>
      <c r="B55" s="59" t="s">
        <v>6</v>
      </c>
      <c r="C55" s="60" t="s">
        <v>7</v>
      </c>
      <c r="D55" s="61">
        <v>44391</v>
      </c>
      <c r="E55" s="50">
        <v>44391</v>
      </c>
      <c r="F55" s="50">
        <v>44392</v>
      </c>
      <c r="G55" s="58">
        <f t="shared" si="11"/>
        <v>1</v>
      </c>
      <c r="I55"/>
    </row>
    <row r="56" spans="1:9" x14ac:dyDescent="0.25">
      <c r="A56" s="56" t="s">
        <v>127</v>
      </c>
      <c r="B56" s="59" t="s">
        <v>16</v>
      </c>
      <c r="C56" s="57" t="s">
        <v>34</v>
      </c>
      <c r="D56" s="61">
        <v>44390</v>
      </c>
      <c r="E56" s="50">
        <v>44390</v>
      </c>
      <c r="F56" s="50">
        <v>44391</v>
      </c>
      <c r="G56" s="58">
        <f t="shared" si="11"/>
        <v>1</v>
      </c>
      <c r="I56"/>
    </row>
    <row r="57" spans="1:9" x14ac:dyDescent="0.25">
      <c r="A57" s="56" t="s">
        <v>126</v>
      </c>
      <c r="B57" s="59" t="s">
        <v>10</v>
      </c>
      <c r="C57" s="57" t="s">
        <v>11</v>
      </c>
      <c r="D57" s="61">
        <v>44390</v>
      </c>
      <c r="E57" s="50">
        <v>44390</v>
      </c>
      <c r="F57" s="50">
        <v>44391</v>
      </c>
      <c r="G57" s="58">
        <f t="shared" si="11"/>
        <v>1</v>
      </c>
      <c r="I57"/>
    </row>
    <row r="58" spans="1:9" x14ac:dyDescent="0.25">
      <c r="A58" s="56" t="s">
        <v>125</v>
      </c>
      <c r="B58" s="59" t="s">
        <v>4</v>
      </c>
      <c r="C58" s="57" t="s">
        <v>5</v>
      </c>
      <c r="D58" s="61">
        <v>44390</v>
      </c>
      <c r="E58" s="50">
        <v>44390</v>
      </c>
      <c r="F58" s="50">
        <v>44391</v>
      </c>
      <c r="G58" s="58">
        <f t="shared" ref="G58" si="12">F58-E58</f>
        <v>1</v>
      </c>
      <c r="I58"/>
    </row>
    <row r="59" spans="1:9" x14ac:dyDescent="0.25">
      <c r="A59" s="56" t="s">
        <v>124</v>
      </c>
      <c r="B59" s="59" t="s">
        <v>29</v>
      </c>
      <c r="C59" s="59" t="s">
        <v>32</v>
      </c>
      <c r="D59" s="61">
        <v>44389</v>
      </c>
      <c r="E59" s="50">
        <v>44389</v>
      </c>
      <c r="F59" s="50">
        <v>44390</v>
      </c>
      <c r="G59" s="58">
        <f t="shared" ref="G59:G66" si="13">F59-E59</f>
        <v>1</v>
      </c>
      <c r="I59"/>
    </row>
    <row r="60" spans="1:9" x14ac:dyDescent="0.25">
      <c r="A60" s="56" t="s">
        <v>123</v>
      </c>
      <c r="B60" s="59" t="s">
        <v>14</v>
      </c>
      <c r="C60" s="59" t="s">
        <v>15</v>
      </c>
      <c r="D60" s="61">
        <v>44389</v>
      </c>
      <c r="E60" s="50">
        <v>44389</v>
      </c>
      <c r="F60" s="50">
        <v>44390</v>
      </c>
      <c r="G60" s="58">
        <f t="shared" si="13"/>
        <v>1</v>
      </c>
      <c r="I60"/>
    </row>
    <row r="61" spans="1:9" x14ac:dyDescent="0.25">
      <c r="A61" s="56" t="s">
        <v>122</v>
      </c>
      <c r="B61" s="59" t="s">
        <v>8</v>
      </c>
      <c r="C61" s="59" t="s">
        <v>9</v>
      </c>
      <c r="D61" s="61">
        <v>44389</v>
      </c>
      <c r="E61" s="50">
        <v>44389</v>
      </c>
      <c r="F61" s="50">
        <v>44390</v>
      </c>
      <c r="G61" s="58">
        <f t="shared" si="13"/>
        <v>1</v>
      </c>
      <c r="I61"/>
    </row>
    <row r="62" spans="1:9" x14ac:dyDescent="0.25">
      <c r="A62" s="56" t="s">
        <v>121</v>
      </c>
      <c r="B62" s="59" t="s">
        <v>17</v>
      </c>
      <c r="C62" s="60" t="s">
        <v>33</v>
      </c>
      <c r="D62" s="61">
        <v>44388</v>
      </c>
      <c r="E62" s="50">
        <v>44388</v>
      </c>
      <c r="F62" s="50">
        <v>44389</v>
      </c>
      <c r="G62" s="58">
        <f t="shared" si="13"/>
        <v>1</v>
      </c>
      <c r="I62"/>
    </row>
    <row r="63" spans="1:9" x14ac:dyDescent="0.25">
      <c r="A63" s="56" t="s">
        <v>120</v>
      </c>
      <c r="B63" s="59" t="s">
        <v>12</v>
      </c>
      <c r="C63" s="60" t="s">
        <v>13</v>
      </c>
      <c r="D63" s="61">
        <v>44388</v>
      </c>
      <c r="E63" s="50">
        <v>44388</v>
      </c>
      <c r="F63" s="50">
        <v>44389</v>
      </c>
      <c r="G63" s="58">
        <f t="shared" si="13"/>
        <v>1</v>
      </c>
      <c r="I63"/>
    </row>
    <row r="64" spans="1:9" x14ac:dyDescent="0.25">
      <c r="A64" s="56" t="s">
        <v>119</v>
      </c>
      <c r="B64" s="59" t="s">
        <v>6</v>
      </c>
      <c r="C64" s="60" t="s">
        <v>7</v>
      </c>
      <c r="D64" s="61">
        <v>44388</v>
      </c>
      <c r="E64" s="50">
        <v>44388</v>
      </c>
      <c r="F64" s="50">
        <v>44389</v>
      </c>
      <c r="G64" s="58">
        <f t="shared" si="13"/>
        <v>1</v>
      </c>
      <c r="I64"/>
    </row>
    <row r="65" spans="1:9" x14ac:dyDescent="0.25">
      <c r="A65" s="56" t="s">
        <v>118</v>
      </c>
      <c r="B65" s="59" t="s">
        <v>16</v>
      </c>
      <c r="C65" s="57" t="s">
        <v>34</v>
      </c>
      <c r="D65" s="61">
        <v>44387</v>
      </c>
      <c r="E65" s="50">
        <v>44387</v>
      </c>
      <c r="F65" s="50">
        <v>44388</v>
      </c>
      <c r="G65" s="58">
        <f t="shared" si="13"/>
        <v>1</v>
      </c>
      <c r="I65"/>
    </row>
    <row r="66" spans="1:9" x14ac:dyDescent="0.25">
      <c r="A66" s="56" t="s">
        <v>117</v>
      </c>
      <c r="B66" s="59" t="s">
        <v>10</v>
      </c>
      <c r="C66" s="57" t="s">
        <v>11</v>
      </c>
      <c r="D66" s="61">
        <v>44387</v>
      </c>
      <c r="E66" s="50">
        <v>44387</v>
      </c>
      <c r="F66" s="50">
        <v>44388</v>
      </c>
      <c r="G66" s="58">
        <f t="shared" si="13"/>
        <v>1</v>
      </c>
      <c r="I66"/>
    </row>
    <row r="67" spans="1:9" x14ac:dyDescent="0.25">
      <c r="A67" s="56" t="s">
        <v>116</v>
      </c>
      <c r="B67" s="59" t="s">
        <v>4</v>
      </c>
      <c r="C67" s="57" t="s">
        <v>5</v>
      </c>
      <c r="D67" s="61">
        <v>44387</v>
      </c>
      <c r="E67" s="50">
        <v>44387</v>
      </c>
      <c r="F67" s="50">
        <v>44388</v>
      </c>
      <c r="G67" s="58">
        <f t="shared" ref="G67" si="14">F67-E67</f>
        <v>1</v>
      </c>
      <c r="I67"/>
    </row>
    <row r="68" spans="1:9" x14ac:dyDescent="0.25">
      <c r="A68" s="56" t="s">
        <v>115</v>
      </c>
      <c r="B68" s="59" t="s">
        <v>29</v>
      </c>
      <c r="C68" s="59" t="s">
        <v>32</v>
      </c>
      <c r="D68" s="61">
        <v>44386</v>
      </c>
      <c r="E68" s="50">
        <v>44386</v>
      </c>
      <c r="F68" s="50">
        <v>44387</v>
      </c>
      <c r="G68" s="58">
        <f t="shared" ref="G68:G75" si="15">F68-E68</f>
        <v>1</v>
      </c>
      <c r="I68"/>
    </row>
    <row r="69" spans="1:9" x14ac:dyDescent="0.25">
      <c r="A69" s="56" t="s">
        <v>114</v>
      </c>
      <c r="B69" s="59" t="s">
        <v>14</v>
      </c>
      <c r="C69" s="59" t="s">
        <v>15</v>
      </c>
      <c r="D69" s="61">
        <v>44386</v>
      </c>
      <c r="E69" s="50">
        <v>44386</v>
      </c>
      <c r="F69" s="50">
        <v>44387</v>
      </c>
      <c r="G69" s="58">
        <f t="shared" si="15"/>
        <v>1</v>
      </c>
      <c r="I69"/>
    </row>
    <row r="70" spans="1:9" x14ac:dyDescent="0.25">
      <c r="A70" s="56" t="s">
        <v>113</v>
      </c>
      <c r="B70" s="59" t="s">
        <v>8</v>
      </c>
      <c r="C70" s="59" t="s">
        <v>9</v>
      </c>
      <c r="D70" s="61">
        <v>44386</v>
      </c>
      <c r="E70" s="50">
        <v>44386</v>
      </c>
      <c r="F70" s="50">
        <v>44387</v>
      </c>
      <c r="G70" s="58">
        <f t="shared" si="15"/>
        <v>1</v>
      </c>
      <c r="I70"/>
    </row>
    <row r="71" spans="1:9" x14ac:dyDescent="0.25">
      <c r="A71" s="56" t="s">
        <v>112</v>
      </c>
      <c r="B71" s="59" t="s">
        <v>17</v>
      </c>
      <c r="C71" s="60" t="s">
        <v>33</v>
      </c>
      <c r="D71" s="61">
        <v>44385</v>
      </c>
      <c r="E71" s="50">
        <v>44385</v>
      </c>
      <c r="F71" s="50">
        <v>44386</v>
      </c>
      <c r="G71" s="58">
        <f t="shared" si="15"/>
        <v>1</v>
      </c>
      <c r="I71"/>
    </row>
    <row r="72" spans="1:9" x14ac:dyDescent="0.25">
      <c r="A72" s="56" t="s">
        <v>111</v>
      </c>
      <c r="B72" s="59" t="s">
        <v>12</v>
      </c>
      <c r="C72" s="60" t="s">
        <v>13</v>
      </c>
      <c r="D72" s="61">
        <v>44385</v>
      </c>
      <c r="E72" s="50">
        <v>44385</v>
      </c>
      <c r="F72" s="50">
        <v>44386</v>
      </c>
      <c r="G72" s="58">
        <f t="shared" si="15"/>
        <v>1</v>
      </c>
      <c r="I72"/>
    </row>
    <row r="73" spans="1:9" x14ac:dyDescent="0.25">
      <c r="A73" s="56" t="s">
        <v>110</v>
      </c>
      <c r="B73" s="59" t="s">
        <v>6</v>
      </c>
      <c r="C73" s="60" t="s">
        <v>7</v>
      </c>
      <c r="D73" s="61">
        <v>44385</v>
      </c>
      <c r="E73" s="50">
        <v>44385</v>
      </c>
      <c r="F73" s="50">
        <v>44386</v>
      </c>
      <c r="G73" s="58">
        <f t="shared" si="15"/>
        <v>1</v>
      </c>
      <c r="I73"/>
    </row>
    <row r="74" spans="1:9" x14ac:dyDescent="0.25">
      <c r="A74" s="56" t="s">
        <v>109</v>
      </c>
      <c r="B74" s="59" t="s">
        <v>16</v>
      </c>
      <c r="C74" s="57" t="s">
        <v>34</v>
      </c>
      <c r="D74" s="61">
        <v>44384</v>
      </c>
      <c r="E74" s="50">
        <v>44384</v>
      </c>
      <c r="F74" s="50">
        <v>44385</v>
      </c>
      <c r="G74" s="58">
        <f t="shared" si="15"/>
        <v>1</v>
      </c>
      <c r="I74"/>
    </row>
    <row r="75" spans="1:9" x14ac:dyDescent="0.25">
      <c r="A75" s="56" t="s">
        <v>108</v>
      </c>
      <c r="B75" s="59" t="s">
        <v>10</v>
      </c>
      <c r="C75" s="57" t="s">
        <v>11</v>
      </c>
      <c r="D75" s="61">
        <v>44384</v>
      </c>
      <c r="E75" s="50">
        <v>44384</v>
      </c>
      <c r="F75" s="50">
        <v>44385</v>
      </c>
      <c r="G75" s="58">
        <f t="shared" si="15"/>
        <v>1</v>
      </c>
      <c r="I75"/>
    </row>
    <row r="76" spans="1:9" x14ac:dyDescent="0.25">
      <c r="A76" s="56" t="s">
        <v>107</v>
      </c>
      <c r="B76" s="59" t="s">
        <v>4</v>
      </c>
      <c r="C76" s="57" t="s">
        <v>5</v>
      </c>
      <c r="D76" s="61">
        <v>44384</v>
      </c>
      <c r="E76" s="50">
        <v>44384</v>
      </c>
      <c r="F76" s="50">
        <v>44385</v>
      </c>
      <c r="G76" s="58">
        <f t="shared" ref="G76" si="16">F76-E76</f>
        <v>1</v>
      </c>
      <c r="I76"/>
    </row>
    <row r="77" spans="1:9" x14ac:dyDescent="0.25">
      <c r="A77" s="56" t="s">
        <v>106</v>
      </c>
      <c r="B77" s="59" t="s">
        <v>29</v>
      </c>
      <c r="C77" s="59" t="s">
        <v>32</v>
      </c>
      <c r="D77" s="61">
        <v>44383</v>
      </c>
      <c r="E77" s="50">
        <v>44383</v>
      </c>
      <c r="F77" s="50">
        <v>44384</v>
      </c>
      <c r="G77" s="58">
        <f t="shared" ref="G77:G84" si="17">F77-E77</f>
        <v>1</v>
      </c>
      <c r="I77"/>
    </row>
    <row r="78" spans="1:9" x14ac:dyDescent="0.25">
      <c r="A78" s="56" t="s">
        <v>105</v>
      </c>
      <c r="B78" s="59" t="s">
        <v>14</v>
      </c>
      <c r="C78" s="59" t="s">
        <v>15</v>
      </c>
      <c r="D78" s="61">
        <v>44383</v>
      </c>
      <c r="E78" s="50">
        <v>44383</v>
      </c>
      <c r="F78" s="50">
        <v>44384</v>
      </c>
      <c r="G78" s="58">
        <f t="shared" si="17"/>
        <v>1</v>
      </c>
      <c r="I78"/>
    </row>
    <row r="79" spans="1:9" x14ac:dyDescent="0.25">
      <c r="A79" s="56" t="s">
        <v>104</v>
      </c>
      <c r="B79" s="59" t="s">
        <v>8</v>
      </c>
      <c r="C79" s="59" t="s">
        <v>9</v>
      </c>
      <c r="D79" s="61">
        <v>44383</v>
      </c>
      <c r="E79" s="50">
        <v>44383</v>
      </c>
      <c r="F79" s="50">
        <v>44384</v>
      </c>
      <c r="G79" s="58">
        <f t="shared" si="17"/>
        <v>1</v>
      </c>
      <c r="I79"/>
    </row>
    <row r="80" spans="1:9" x14ac:dyDescent="0.25">
      <c r="A80" s="56" t="s">
        <v>103</v>
      </c>
      <c r="B80" s="59" t="s">
        <v>17</v>
      </c>
      <c r="C80" s="60" t="s">
        <v>33</v>
      </c>
      <c r="D80" s="61">
        <v>44382</v>
      </c>
      <c r="E80" s="50">
        <v>44382</v>
      </c>
      <c r="F80" s="50">
        <v>44383</v>
      </c>
      <c r="G80" s="58">
        <f t="shared" si="17"/>
        <v>1</v>
      </c>
      <c r="I80"/>
    </row>
    <row r="81" spans="1:9" x14ac:dyDescent="0.25">
      <c r="A81" s="56" t="s">
        <v>102</v>
      </c>
      <c r="B81" s="59" t="s">
        <v>12</v>
      </c>
      <c r="C81" s="60" t="s">
        <v>13</v>
      </c>
      <c r="D81" s="61">
        <v>44382</v>
      </c>
      <c r="E81" s="50">
        <v>44382</v>
      </c>
      <c r="F81" s="50">
        <v>44383</v>
      </c>
      <c r="G81" s="58">
        <f t="shared" si="17"/>
        <v>1</v>
      </c>
      <c r="I81"/>
    </row>
    <row r="82" spans="1:9" x14ac:dyDescent="0.25">
      <c r="A82" s="56" t="s">
        <v>101</v>
      </c>
      <c r="B82" s="59" t="s">
        <v>6</v>
      </c>
      <c r="C82" s="60" t="s">
        <v>7</v>
      </c>
      <c r="D82" s="61">
        <v>44382</v>
      </c>
      <c r="E82" s="50">
        <v>44382</v>
      </c>
      <c r="F82" s="50">
        <v>44383</v>
      </c>
      <c r="G82" s="58">
        <f t="shared" si="17"/>
        <v>1</v>
      </c>
      <c r="I82"/>
    </row>
    <row r="83" spans="1:9" x14ac:dyDescent="0.25">
      <c r="A83" s="56" t="s">
        <v>100</v>
      </c>
      <c r="B83" s="59" t="s">
        <v>16</v>
      </c>
      <c r="C83" s="57" t="s">
        <v>34</v>
      </c>
      <c r="D83" s="61">
        <v>44381</v>
      </c>
      <c r="E83" s="50">
        <v>44381</v>
      </c>
      <c r="F83" s="50">
        <v>44382</v>
      </c>
      <c r="G83" s="58">
        <f t="shared" si="17"/>
        <v>1</v>
      </c>
      <c r="I83"/>
    </row>
    <row r="84" spans="1:9" x14ac:dyDescent="0.25">
      <c r="A84" s="56" t="s">
        <v>99</v>
      </c>
      <c r="B84" s="59" t="s">
        <v>10</v>
      </c>
      <c r="C84" s="57" t="s">
        <v>11</v>
      </c>
      <c r="D84" s="61">
        <v>44381</v>
      </c>
      <c r="E84" s="50">
        <v>44381</v>
      </c>
      <c r="F84" s="50">
        <v>44382</v>
      </c>
      <c r="G84" s="58">
        <f t="shared" si="17"/>
        <v>1</v>
      </c>
      <c r="I84"/>
    </row>
    <row r="85" spans="1:9" x14ac:dyDescent="0.25">
      <c r="A85" s="56" t="s">
        <v>98</v>
      </c>
      <c r="B85" s="59" t="s">
        <v>4</v>
      </c>
      <c r="C85" s="57" t="s">
        <v>5</v>
      </c>
      <c r="D85" s="61">
        <v>44381</v>
      </c>
      <c r="E85" s="50">
        <v>44381</v>
      </c>
      <c r="F85" s="50">
        <v>44382</v>
      </c>
      <c r="G85" s="58">
        <f t="shared" ref="G85" si="18">F85-E85</f>
        <v>1</v>
      </c>
      <c r="I85"/>
    </row>
    <row r="86" spans="1:9" x14ac:dyDescent="0.25">
      <c r="A86" s="56" t="s">
        <v>46</v>
      </c>
      <c r="B86" s="59" t="s">
        <v>29</v>
      </c>
      <c r="C86" s="59" t="s">
        <v>32</v>
      </c>
      <c r="D86" s="61">
        <v>44380</v>
      </c>
      <c r="E86" s="50">
        <v>44380</v>
      </c>
      <c r="F86" s="50">
        <v>44381</v>
      </c>
      <c r="G86" s="58">
        <f t="shared" ref="G86:G93" si="19">F86-E86</f>
        <v>1</v>
      </c>
      <c r="I86"/>
    </row>
    <row r="87" spans="1:9" x14ac:dyDescent="0.25">
      <c r="A87" s="56" t="s">
        <v>45</v>
      </c>
      <c r="B87" s="59" t="s">
        <v>14</v>
      </c>
      <c r="C87" s="59" t="s">
        <v>15</v>
      </c>
      <c r="D87" s="61">
        <v>44380</v>
      </c>
      <c r="E87" s="50">
        <v>44380</v>
      </c>
      <c r="F87" s="50">
        <v>44381</v>
      </c>
      <c r="G87" s="58">
        <f t="shared" si="19"/>
        <v>1</v>
      </c>
      <c r="I87"/>
    </row>
    <row r="88" spans="1:9" x14ac:dyDescent="0.25">
      <c r="A88" s="56" t="s">
        <v>44</v>
      </c>
      <c r="B88" s="59" t="s">
        <v>8</v>
      </c>
      <c r="C88" s="59" t="s">
        <v>9</v>
      </c>
      <c r="D88" s="61">
        <v>44380</v>
      </c>
      <c r="E88" s="50">
        <v>44380</v>
      </c>
      <c r="F88" s="50">
        <v>44381</v>
      </c>
      <c r="G88" s="58">
        <f t="shared" si="19"/>
        <v>1</v>
      </c>
      <c r="I88"/>
    </row>
    <row r="89" spans="1:9" x14ac:dyDescent="0.25">
      <c r="A89" s="56" t="s">
        <v>43</v>
      </c>
      <c r="B89" s="59" t="s">
        <v>17</v>
      </c>
      <c r="C89" s="60" t="s">
        <v>33</v>
      </c>
      <c r="D89" s="61">
        <v>44379</v>
      </c>
      <c r="E89" s="50">
        <v>44379</v>
      </c>
      <c r="F89" s="50">
        <v>44380</v>
      </c>
      <c r="G89" s="58">
        <f t="shared" si="19"/>
        <v>1</v>
      </c>
      <c r="I89"/>
    </row>
    <row r="90" spans="1:9" x14ac:dyDescent="0.25">
      <c r="A90" s="56" t="s">
        <v>42</v>
      </c>
      <c r="B90" s="59" t="s">
        <v>12</v>
      </c>
      <c r="C90" s="60" t="s">
        <v>13</v>
      </c>
      <c r="D90" s="61">
        <v>44379</v>
      </c>
      <c r="E90" s="50">
        <v>44379</v>
      </c>
      <c r="F90" s="50">
        <v>44380</v>
      </c>
      <c r="G90" s="58">
        <f t="shared" si="19"/>
        <v>1</v>
      </c>
      <c r="I90"/>
    </row>
    <row r="91" spans="1:9" x14ac:dyDescent="0.25">
      <c r="A91" s="56" t="s">
        <v>41</v>
      </c>
      <c r="B91" s="59" t="s">
        <v>6</v>
      </c>
      <c r="C91" s="60" t="s">
        <v>7</v>
      </c>
      <c r="D91" s="61">
        <v>44379</v>
      </c>
      <c r="E91" s="50">
        <v>44379</v>
      </c>
      <c r="F91" s="50">
        <v>44380</v>
      </c>
      <c r="G91" s="58">
        <f t="shared" si="19"/>
        <v>1</v>
      </c>
      <c r="I91"/>
    </row>
    <row r="92" spans="1:9" x14ac:dyDescent="0.25">
      <c r="A92" s="56" t="s">
        <v>37</v>
      </c>
      <c r="B92" s="59" t="s">
        <v>16</v>
      </c>
      <c r="C92" s="57" t="s">
        <v>34</v>
      </c>
      <c r="D92" s="61">
        <v>44378</v>
      </c>
      <c r="E92" s="50">
        <v>44378</v>
      </c>
      <c r="F92" s="50">
        <v>44379</v>
      </c>
      <c r="G92" s="58">
        <f t="shared" si="19"/>
        <v>1</v>
      </c>
      <c r="I92"/>
    </row>
    <row r="93" spans="1:9" x14ac:dyDescent="0.25">
      <c r="A93" s="56" t="s">
        <v>36</v>
      </c>
      <c r="B93" s="59" t="s">
        <v>10</v>
      </c>
      <c r="C93" s="57" t="s">
        <v>11</v>
      </c>
      <c r="D93" s="61">
        <v>44378</v>
      </c>
      <c r="E93" s="50">
        <v>44378</v>
      </c>
      <c r="F93" s="50">
        <v>44379</v>
      </c>
      <c r="G93" s="58">
        <f t="shared" si="19"/>
        <v>1</v>
      </c>
      <c r="I93"/>
    </row>
    <row r="94" spans="1:9" x14ac:dyDescent="0.25">
      <c r="A94" s="62" t="s">
        <v>35</v>
      </c>
      <c r="B94" s="59" t="s">
        <v>4</v>
      </c>
      <c r="C94" s="63" t="s">
        <v>5</v>
      </c>
      <c r="D94" s="47">
        <v>44378</v>
      </c>
      <c r="E94" s="49">
        <v>44378</v>
      </c>
      <c r="F94" s="50">
        <v>44378</v>
      </c>
      <c r="G94" s="64">
        <f t="shared" ref="G94" si="20">F94-E94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pageSetUpPr fitToPage="1"/>
  </sheetPr>
  <dimension ref="A1:F13"/>
  <sheetViews>
    <sheetView tabSelected="1" workbookViewId="0">
      <selection activeCell="A7" sqref="A7"/>
    </sheetView>
  </sheetViews>
  <sheetFormatPr baseColWidth="10" defaultRowHeight="15" x14ac:dyDescent="0.25"/>
  <cols>
    <col min="1" max="1" width="10.7109375" style="28" bestFit="1" customWidth="1"/>
    <col min="2" max="2" width="21.42578125" style="28" bestFit="1" customWidth="1"/>
    <col min="3" max="3" width="10.7109375" style="28" bestFit="1" customWidth="1"/>
    <col min="4" max="4" width="18.85546875" style="28" customWidth="1"/>
    <col min="5" max="16384" width="11.42578125" style="28"/>
  </cols>
  <sheetData>
    <row r="1" spans="1:6" ht="15.75" x14ac:dyDescent="0.25">
      <c r="A1" s="82"/>
      <c r="B1" s="83"/>
      <c r="C1" s="83"/>
      <c r="D1" s="83"/>
      <c r="E1" s="83"/>
      <c r="F1" s="84"/>
    </row>
    <row r="2" spans="1:6" x14ac:dyDescent="0.25">
      <c r="A2" s="85"/>
      <c r="B2" s="86"/>
      <c r="C2" s="86"/>
      <c r="D2" s="86"/>
      <c r="E2" s="86"/>
      <c r="F2" s="87"/>
    </row>
    <row r="3" spans="1:6" x14ac:dyDescent="0.25">
      <c r="A3" s="88" t="s">
        <v>23</v>
      </c>
      <c r="B3" s="89"/>
      <c r="C3" s="89"/>
      <c r="D3" s="89"/>
      <c r="E3" s="89"/>
      <c r="F3" s="90"/>
    </row>
    <row r="4" spans="1:6" x14ac:dyDescent="0.25">
      <c r="A4" s="85"/>
      <c r="B4" s="86"/>
      <c r="C4" s="86"/>
      <c r="D4" s="86"/>
      <c r="E4" s="86"/>
      <c r="F4" s="87"/>
    </row>
    <row r="5" spans="1:6" ht="15.75" thickBot="1" x14ac:dyDescent="0.3">
      <c r="A5" s="91"/>
      <c r="B5" s="92"/>
      <c r="C5" s="92"/>
      <c r="D5" s="92"/>
      <c r="E5" s="92"/>
      <c r="F5" s="93"/>
    </row>
    <row r="6" spans="1:6" ht="30.75" thickBot="1" x14ac:dyDescent="0.3">
      <c r="A6" s="29" t="s">
        <v>24</v>
      </c>
      <c r="B6" s="30" t="s">
        <v>2</v>
      </c>
      <c r="C6" s="30" t="s">
        <v>30</v>
      </c>
      <c r="D6" s="30" t="s">
        <v>27</v>
      </c>
      <c r="E6" s="31"/>
      <c r="F6" s="32"/>
    </row>
    <row r="7" spans="1:6" ht="15.75" thickBot="1" x14ac:dyDescent="0.3">
      <c r="A7" s="23" t="s">
        <v>4</v>
      </c>
      <c r="B7" s="33" t="str">
        <f>VLOOKUP(A7,DATOS!A1:C10,2)</f>
        <v>ALFREDO DIAZ</v>
      </c>
      <c r="C7" s="34">
        <f ca="1">TODAY()</f>
        <v>44420</v>
      </c>
      <c r="D7" s="36">
        <f ca="1">NOW()</f>
        <v>44420.310716203705</v>
      </c>
      <c r="E7" s="35"/>
      <c r="F7" s="37"/>
    </row>
    <row r="8" spans="1:6" x14ac:dyDescent="0.25">
      <c r="A8" s="38"/>
      <c r="B8" s="39"/>
      <c r="C8" s="39"/>
      <c r="D8" s="39"/>
      <c r="E8" s="39"/>
      <c r="F8" s="41"/>
    </row>
    <row r="9" spans="1:6" x14ac:dyDescent="0.25">
      <c r="A9" s="38"/>
      <c r="B9" s="39"/>
      <c r="C9" s="39"/>
      <c r="D9" s="39"/>
      <c r="E9" s="39"/>
      <c r="F9" s="39"/>
    </row>
    <row r="10" spans="1:6" x14ac:dyDescent="0.25">
      <c r="A10" s="38"/>
      <c r="B10" s="39"/>
      <c r="C10" s="39"/>
      <c r="D10" s="39"/>
      <c r="E10" s="39"/>
      <c r="F10" s="39"/>
    </row>
    <row r="11" spans="1:6" x14ac:dyDescent="0.25">
      <c r="A11" s="38"/>
      <c r="B11" s="42"/>
      <c r="C11" s="42"/>
      <c r="D11" s="39"/>
      <c r="E11" s="39"/>
      <c r="F11" s="39"/>
    </row>
    <row r="12" spans="1:6" x14ac:dyDescent="0.25">
      <c r="A12" s="38"/>
      <c r="B12" s="42"/>
      <c r="C12" s="42"/>
      <c r="D12" s="40"/>
      <c r="E12" s="40"/>
      <c r="F12" s="40"/>
    </row>
    <row r="13" spans="1:6" x14ac:dyDescent="0.25">
      <c r="A13" s="38"/>
      <c r="B13" s="39"/>
      <c r="C13" s="39"/>
      <c r="D13" s="39"/>
      <c r="E13" s="39"/>
      <c r="F13" s="39"/>
    </row>
  </sheetData>
  <sheetProtection sheet="1" objects="1" scenarios="1" selectLockedCells="1"/>
  <mergeCells count="5">
    <mergeCell ref="A1:F1"/>
    <mergeCell ref="A2:F2"/>
    <mergeCell ref="A3:F3"/>
    <mergeCell ref="A4:F4"/>
    <mergeCell ref="A5:F5"/>
  </mergeCells>
  <dataValidations count="1">
    <dataValidation type="textLength" allowBlank="1" showInputMessage="1" showErrorMessage="1" sqref="A8:A13" xr:uid="{00000000-0002-0000-0200-000000000000}">
      <formula1>5</formula1>
      <formula2>5</formula2>
    </dataValidation>
  </dataValidations>
  <pageMargins left="0.7" right="0.7" top="0.75" bottom="0.75" header="0.3" footer="0.3"/>
  <pageSetup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1000000}">
          <x14:formula1>
            <xm:f>DATOS!$A$2:$A$10</xm:f>
          </x14:formula1>
          <xm:sqref>A7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pageSetUpPr fitToPage="1"/>
  </sheetPr>
  <dimension ref="A1:Q21"/>
  <sheetViews>
    <sheetView zoomScale="80" zoomScaleNormal="80" workbookViewId="0">
      <selection activeCell="F9" sqref="F9"/>
    </sheetView>
  </sheetViews>
  <sheetFormatPr baseColWidth="10" defaultRowHeight="15" x14ac:dyDescent="0.25"/>
  <cols>
    <col min="2" max="2" width="23" customWidth="1"/>
    <col min="4" max="4" width="20.5703125" customWidth="1"/>
    <col min="5" max="5" width="19.28515625" customWidth="1"/>
    <col min="6" max="6" width="11.42578125" customWidth="1"/>
    <col min="7" max="7" width="12.5703125" customWidth="1"/>
    <col min="8" max="8" width="21.42578125" customWidth="1"/>
    <col min="9" max="9" width="16.5703125" bestFit="1" customWidth="1"/>
  </cols>
  <sheetData>
    <row r="1" spans="1:17" ht="15.75" x14ac:dyDescent="0.25">
      <c r="A1" s="94"/>
      <c r="B1" s="95"/>
      <c r="C1" s="95"/>
      <c r="D1" s="95"/>
      <c r="E1" s="95"/>
      <c r="F1" s="95"/>
      <c r="G1" s="95"/>
      <c r="H1" s="95"/>
      <c r="I1" s="95"/>
    </row>
    <row r="2" spans="1:17" x14ac:dyDescent="0.25">
      <c r="A2" s="96"/>
      <c r="B2" s="97"/>
      <c r="C2" s="97"/>
      <c r="D2" s="97"/>
      <c r="E2" s="97"/>
      <c r="F2" s="97"/>
      <c r="G2" s="97"/>
      <c r="H2" s="97"/>
      <c r="I2" s="97"/>
    </row>
    <row r="3" spans="1:17" x14ac:dyDescent="0.25">
      <c r="A3" s="98" t="s">
        <v>0</v>
      </c>
      <c r="B3" s="99"/>
      <c r="C3" s="99"/>
      <c r="D3" s="99"/>
      <c r="E3" s="99"/>
      <c r="F3" s="99"/>
      <c r="G3" s="99"/>
      <c r="H3" s="99"/>
      <c r="I3" s="99"/>
    </row>
    <row r="4" spans="1:17" x14ac:dyDescent="0.25">
      <c r="A4" s="96"/>
      <c r="B4" s="97"/>
      <c r="C4" s="97"/>
      <c r="D4" s="97"/>
      <c r="E4" s="97"/>
      <c r="F4" s="97"/>
      <c r="G4" s="97"/>
      <c r="H4" s="97"/>
      <c r="I4" s="97"/>
    </row>
    <row r="5" spans="1:17" x14ac:dyDescent="0.25">
      <c r="A5" s="100"/>
      <c r="B5" s="101"/>
      <c r="C5" s="101"/>
      <c r="D5" s="101"/>
      <c r="E5" s="101"/>
      <c r="F5" s="101"/>
      <c r="G5" s="101"/>
      <c r="H5" s="101"/>
      <c r="I5" s="101"/>
      <c r="J5" s="21"/>
      <c r="K5" s="21"/>
      <c r="L5" s="21"/>
      <c r="M5" s="21"/>
      <c r="N5" s="21"/>
      <c r="O5" s="21"/>
      <c r="P5" s="21"/>
      <c r="Q5" s="17"/>
    </row>
    <row r="6" spans="1:17" ht="15.75" thickBot="1" x14ac:dyDescent="0.3">
      <c r="A6" s="1"/>
      <c r="B6" s="1"/>
      <c r="C6" s="1"/>
      <c r="D6" s="1"/>
      <c r="E6" s="1"/>
      <c r="F6" s="1"/>
      <c r="G6" s="1"/>
      <c r="H6" s="24"/>
      <c r="I6" s="24"/>
      <c r="J6" s="1"/>
      <c r="K6" s="1"/>
      <c r="L6" s="1"/>
      <c r="M6" s="1"/>
      <c r="N6" s="1"/>
      <c r="O6" s="1"/>
      <c r="P6" s="1"/>
      <c r="Q6" s="1"/>
    </row>
    <row r="7" spans="1:17" ht="137.25" thickBot="1" x14ac:dyDescent="0.3">
      <c r="A7" s="44" t="s">
        <v>1</v>
      </c>
      <c r="B7" s="44" t="s">
        <v>2</v>
      </c>
      <c r="C7" s="45" t="s">
        <v>3</v>
      </c>
      <c r="D7" s="44" t="s">
        <v>18</v>
      </c>
      <c r="E7" s="46" t="s">
        <v>19</v>
      </c>
      <c r="F7" s="68" t="s">
        <v>20</v>
      </c>
      <c r="G7" s="78" t="s">
        <v>129</v>
      </c>
      <c r="H7" s="46" t="s">
        <v>21</v>
      </c>
      <c r="I7" s="81" t="s">
        <v>28</v>
      </c>
    </row>
    <row r="8" spans="1:17" x14ac:dyDescent="0.25">
      <c r="A8" s="3" t="s">
        <v>4</v>
      </c>
      <c r="B8" s="4" t="s">
        <v>5</v>
      </c>
      <c r="C8" s="5">
        <v>3</v>
      </c>
      <c r="D8" s="14">
        <v>15000</v>
      </c>
      <c r="E8" s="65">
        <f>D8/30</f>
        <v>500</v>
      </c>
      <c r="F8" s="76">
        <f>COUNTIF(REGISTRO!$B$1:$B$94,NOMINA!A8)</f>
        <v>11</v>
      </c>
      <c r="G8" s="69">
        <f>SUMIFS(REGISTRO!$G$2:$G$94,REGISTRO!$B$2:$B$94,NOMINA!A8)*24</f>
        <v>240</v>
      </c>
      <c r="H8" s="79">
        <f>E8*F8</f>
        <v>5500</v>
      </c>
      <c r="I8" s="73" t="str">
        <f>IF(AND(C8=3,G8=264),"BONO",IF(AND(C8=2,G8=240),"BONO",IF(AND(C8=1,G8=240),"BONO","NO BONO")))</f>
        <v>NO BONO</v>
      </c>
      <c r="K8" s="72"/>
      <c r="M8" s="72"/>
      <c r="O8" s="72"/>
    </row>
    <row r="9" spans="1:17" x14ac:dyDescent="0.25">
      <c r="A9" s="6" t="s">
        <v>6</v>
      </c>
      <c r="B9" s="7" t="s">
        <v>7</v>
      </c>
      <c r="C9" s="8">
        <v>2</v>
      </c>
      <c r="D9" s="15">
        <v>12000</v>
      </c>
      <c r="E9" s="66">
        <f>D9/30</f>
        <v>400</v>
      </c>
      <c r="F9" s="77">
        <f>COUNTIF(REGISTRO!$B$1:$B$94,NOMINA!A9)</f>
        <v>10</v>
      </c>
      <c r="G9" s="70">
        <f>SUMIFS(REGISTRO!$G$2:$G$94,REGISTRO!$B$2:$B$94,NOMINA!A9)*24</f>
        <v>240</v>
      </c>
      <c r="H9" s="79">
        <f t="shared" ref="H9:H16" si="0">E9*F9</f>
        <v>4000</v>
      </c>
      <c r="I9" s="74" t="str">
        <f t="shared" ref="I9:I16" si="1">IF(AND(C9=3,G9=264),"BONO",IF(AND(C9=2,G9=240),"BONO",IF(AND(C9=1,G9=240),"BONO","NO BONO")))</f>
        <v>BONO</v>
      </c>
    </row>
    <row r="10" spans="1:17" x14ac:dyDescent="0.25">
      <c r="A10" s="6" t="s">
        <v>8</v>
      </c>
      <c r="B10" s="7" t="s">
        <v>9</v>
      </c>
      <c r="C10" s="8">
        <v>1</v>
      </c>
      <c r="D10" s="15">
        <v>10000</v>
      </c>
      <c r="E10" s="66">
        <f t="shared" ref="E10:E16" si="2">D10/30</f>
        <v>333.33333333333331</v>
      </c>
      <c r="F10" s="77">
        <f>COUNTIF(REGISTRO!$B$1:$B$94,NOMINA!A10)</f>
        <v>10</v>
      </c>
      <c r="G10" s="70">
        <f>SUMIFS(REGISTRO!$G$2:$G$94,REGISTRO!$B$2:$B$94,NOMINA!A10)*24</f>
        <v>240</v>
      </c>
      <c r="H10" s="79">
        <f t="shared" si="0"/>
        <v>3333.333333333333</v>
      </c>
      <c r="I10" s="74" t="str">
        <f t="shared" si="1"/>
        <v>BONO</v>
      </c>
    </row>
    <row r="11" spans="1:17" x14ac:dyDescent="0.25">
      <c r="A11" s="6" t="s">
        <v>10</v>
      </c>
      <c r="B11" s="7" t="s">
        <v>11</v>
      </c>
      <c r="C11" s="8">
        <v>3</v>
      </c>
      <c r="D11" s="15">
        <v>15000</v>
      </c>
      <c r="E11" s="66">
        <f t="shared" si="2"/>
        <v>500</v>
      </c>
      <c r="F11" s="77">
        <f>COUNTIF(REGISTRO!$B$1:$B$94,NOMINA!A11)</f>
        <v>11</v>
      </c>
      <c r="G11" s="70">
        <f>SUMIFS(REGISTRO!$G$2:$G$94,REGISTRO!$B$2:$B$94,NOMINA!A11)*24</f>
        <v>264</v>
      </c>
      <c r="H11" s="79">
        <f t="shared" si="0"/>
        <v>5500</v>
      </c>
      <c r="I11" s="74" t="str">
        <f t="shared" si="1"/>
        <v>BONO</v>
      </c>
    </row>
    <row r="12" spans="1:17" x14ac:dyDescent="0.25">
      <c r="A12" s="6" t="s">
        <v>12</v>
      </c>
      <c r="B12" s="7" t="s">
        <v>13</v>
      </c>
      <c r="C12" s="8">
        <v>2</v>
      </c>
      <c r="D12" s="15">
        <v>12000</v>
      </c>
      <c r="E12" s="66">
        <f t="shared" si="2"/>
        <v>400</v>
      </c>
      <c r="F12" s="77">
        <f>COUNTIF(REGISTRO!$B$1:$B$94,NOMINA!A12)</f>
        <v>10</v>
      </c>
      <c r="G12" s="70">
        <f>SUMIFS(REGISTRO!$G$2:$G$94,REGISTRO!$B$2:$B$94,NOMINA!A12)*24</f>
        <v>240</v>
      </c>
      <c r="H12" s="79">
        <f t="shared" si="0"/>
        <v>4000</v>
      </c>
      <c r="I12" s="74" t="str">
        <f t="shared" si="1"/>
        <v>BONO</v>
      </c>
    </row>
    <row r="13" spans="1:17" x14ac:dyDescent="0.25">
      <c r="A13" s="6" t="s">
        <v>14</v>
      </c>
      <c r="B13" s="7" t="s">
        <v>15</v>
      </c>
      <c r="C13" s="8">
        <v>1</v>
      </c>
      <c r="D13" s="15">
        <v>10000</v>
      </c>
      <c r="E13" s="66">
        <f t="shared" si="2"/>
        <v>333.33333333333331</v>
      </c>
      <c r="F13" s="77">
        <f>COUNTIF(REGISTRO!$B$1:$B$94,NOMINA!A13)</f>
        <v>10</v>
      </c>
      <c r="G13" s="70">
        <f>SUMIFS(REGISTRO!$G$2:$G$94,REGISTRO!$B$2:$B$94,NOMINA!A13)*24</f>
        <v>240</v>
      </c>
      <c r="H13" s="79">
        <f t="shared" si="0"/>
        <v>3333.333333333333</v>
      </c>
      <c r="I13" s="74" t="str">
        <f t="shared" si="1"/>
        <v>BONO</v>
      </c>
    </row>
    <row r="14" spans="1:17" x14ac:dyDescent="0.25">
      <c r="A14" s="6" t="s">
        <v>16</v>
      </c>
      <c r="B14" s="10" t="s">
        <v>34</v>
      </c>
      <c r="C14" s="11">
        <v>3</v>
      </c>
      <c r="D14" s="16">
        <v>15000</v>
      </c>
      <c r="E14" s="66">
        <f t="shared" si="2"/>
        <v>500</v>
      </c>
      <c r="F14" s="77">
        <f>COUNTIF(REGISTRO!$B$1:$B$94,NOMINA!A14)</f>
        <v>11</v>
      </c>
      <c r="G14" s="70">
        <f>SUMIFS(REGISTRO!$G$2:$G$94,REGISTRO!$B$2:$B$94,NOMINA!A14)*24</f>
        <v>264</v>
      </c>
      <c r="H14" s="79">
        <f t="shared" si="0"/>
        <v>5500</v>
      </c>
      <c r="I14" s="74" t="str">
        <f t="shared" si="1"/>
        <v>BONO</v>
      </c>
    </row>
    <row r="15" spans="1:17" x14ac:dyDescent="0.25">
      <c r="A15" s="6" t="s">
        <v>17</v>
      </c>
      <c r="B15" s="22" t="s">
        <v>33</v>
      </c>
      <c r="C15" s="11">
        <v>2</v>
      </c>
      <c r="D15" s="16">
        <v>12000</v>
      </c>
      <c r="E15" s="66">
        <f t="shared" si="2"/>
        <v>400</v>
      </c>
      <c r="F15" s="77">
        <f>COUNTIF(REGISTRO!$B$1:$B$94,NOMINA!A15)</f>
        <v>10</v>
      </c>
      <c r="G15" s="70">
        <f>SUMIFS(REGISTRO!$G$2:$G$94,REGISTRO!$B$2:$B$94,NOMINA!A15)*24</f>
        <v>240</v>
      </c>
      <c r="H15" s="79">
        <f t="shared" si="0"/>
        <v>4000</v>
      </c>
      <c r="I15" s="74" t="str">
        <f t="shared" si="1"/>
        <v>BONO</v>
      </c>
    </row>
    <row r="16" spans="1:17" ht="15.75" thickBot="1" x14ac:dyDescent="0.3">
      <c r="A16" s="12" t="s">
        <v>29</v>
      </c>
      <c r="B16" s="25" t="s">
        <v>32</v>
      </c>
      <c r="C16" s="13">
        <v>1</v>
      </c>
      <c r="D16" s="26">
        <v>10000</v>
      </c>
      <c r="E16" s="67">
        <f t="shared" si="2"/>
        <v>333.33333333333331</v>
      </c>
      <c r="F16" s="23">
        <f>COUNTIF(REGISTRO!$B$1:$B$94,NOMINA!A16)</f>
        <v>10</v>
      </c>
      <c r="G16" s="71">
        <f>SUMIFS(REGISTRO!$G$2:$G$94,REGISTRO!$B$2:$B$94,NOMINA!A16)*24</f>
        <v>240</v>
      </c>
      <c r="H16" s="80">
        <f t="shared" si="0"/>
        <v>3333.333333333333</v>
      </c>
      <c r="I16" s="75" t="str">
        <f t="shared" si="1"/>
        <v>BONO</v>
      </c>
      <c r="J16" s="27"/>
      <c r="K16" s="27"/>
      <c r="L16" s="27"/>
      <c r="M16" s="27"/>
      <c r="N16" s="27"/>
      <c r="O16" s="27"/>
    </row>
    <row r="17" spans="1:16" ht="15.75" x14ac:dyDescent="0.25">
      <c r="E17" s="20"/>
      <c r="F17" s="20"/>
      <c r="G17" s="20"/>
      <c r="H17" s="20"/>
      <c r="I17" s="20"/>
      <c r="J17" s="20"/>
      <c r="K17" s="20"/>
      <c r="L17" s="20"/>
      <c r="M17" s="20"/>
      <c r="N17" s="27"/>
      <c r="O17" s="27"/>
      <c r="P17" s="27"/>
    </row>
    <row r="18" spans="1:16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27"/>
      <c r="O18" s="27"/>
      <c r="P18" s="27"/>
    </row>
    <row r="19" spans="1:16" x14ac:dyDescent="0.25">
      <c r="B19" s="27"/>
      <c r="C19" s="27"/>
      <c r="D19" s="27"/>
      <c r="E19" s="27"/>
      <c r="F19" s="27"/>
      <c r="G19" s="27"/>
      <c r="H19" s="27"/>
      <c r="I19" s="27"/>
      <c r="J19" s="19"/>
      <c r="K19" s="19"/>
      <c r="L19" s="19"/>
      <c r="M19" s="19"/>
      <c r="N19" s="27"/>
      <c r="O19" s="27"/>
      <c r="P19" s="27"/>
    </row>
    <row r="20" spans="1:16" x14ac:dyDescent="0.25">
      <c r="B20" s="27"/>
      <c r="C20" s="27"/>
      <c r="D20" s="27"/>
      <c r="E20" s="27"/>
      <c r="F20" s="27"/>
      <c r="G20" s="27"/>
      <c r="H20" s="27"/>
      <c r="I20" s="27"/>
    </row>
    <row r="21" spans="1:16" x14ac:dyDescent="0.25">
      <c r="B21" s="27"/>
      <c r="C21" s="27"/>
      <c r="D21" s="27"/>
      <c r="E21" s="27"/>
      <c r="F21" s="27"/>
      <c r="G21" s="27"/>
      <c r="H21" s="27"/>
      <c r="I21" s="27"/>
    </row>
  </sheetData>
  <mergeCells count="5">
    <mergeCell ref="A1:I1"/>
    <mergeCell ref="A2:I2"/>
    <mergeCell ref="A3:I3"/>
    <mergeCell ref="A4:I4"/>
    <mergeCell ref="A5:I5"/>
  </mergeCells>
  <dataValidations disablePrompts="1" count="3">
    <dataValidation type="whole" allowBlank="1" showInputMessage="1" showErrorMessage="1" sqref="C8:C13" xr:uid="{00000000-0002-0000-0300-000000000000}">
      <formula1>1</formula1>
      <formula2>3</formula2>
    </dataValidation>
    <dataValidation type="textLength" allowBlank="1" showInputMessage="1" showErrorMessage="1" sqref="A8:A16" xr:uid="{00000000-0002-0000-0300-000001000000}">
      <formula1>5</formula1>
      <formula2>5</formula2>
    </dataValidation>
    <dataValidation type="whole" operator="greaterThan" allowBlank="1" showInputMessage="1" showErrorMessage="1" sqref="D8:D13" xr:uid="{00000000-0002-0000-0300-000002000000}">
      <formula1>0</formula1>
    </dataValidation>
  </dataValidations>
  <pageMargins left="0.7" right="0.7" top="0.75" bottom="0.75" header="0.3" footer="0.3"/>
  <pageSetup scale="82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</vt:lpstr>
      <vt:lpstr>REGISTRO</vt:lpstr>
      <vt:lpstr>RELOJ</vt:lpstr>
      <vt:lpstr>NOMINA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Sistemas</dc:creator>
  <cp:lastModifiedBy>Elizabeth mora</cp:lastModifiedBy>
  <cp:lastPrinted>2021-08-12T12:27:54Z</cp:lastPrinted>
  <dcterms:created xsi:type="dcterms:W3CDTF">2021-08-09T02:30:19Z</dcterms:created>
  <dcterms:modified xsi:type="dcterms:W3CDTF">2021-08-12T12:29:00Z</dcterms:modified>
</cp:coreProperties>
</file>