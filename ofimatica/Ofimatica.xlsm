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istemas\Downloads\"/>
    </mc:Choice>
  </mc:AlternateContent>
  <bookViews>
    <workbookView xWindow="0" yWindow="0" windowWidth="24000" windowHeight="9630" activeTab="3"/>
  </bookViews>
  <sheets>
    <sheet name="DATOS" sheetId="4" r:id="rId1"/>
    <sheet name="REGISTRO" sheetId="3" r:id="rId2"/>
    <sheet name="RELOJ" sheetId="2" r:id="rId3"/>
    <sheet name="NOMINA" sheetId="1" r:id="rId4"/>
  </sheets>
  <definedNames>
    <definedName name="Reg">OFFSET(REGISTRO!$A$1,0,0,COUNTA(REGISTRO!$A:$A),1)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3" l="1"/>
  <c r="C7" i="2" l="1"/>
  <c r="B7" i="2" l="1"/>
  <c r="E16" i="1" l="1"/>
  <c r="G16" i="1" s="1"/>
  <c r="D7" i="2" l="1"/>
  <c r="E15" i="1"/>
  <c r="G15" i="1" s="1"/>
  <c r="E14" i="1"/>
  <c r="G14" i="1" s="1"/>
  <c r="E13" i="1"/>
  <c r="G13" i="1" s="1"/>
  <c r="E12" i="1"/>
  <c r="G12" i="1" s="1"/>
  <c r="E11" i="1"/>
  <c r="G11" i="1" s="1"/>
  <c r="E10" i="1"/>
  <c r="G10" i="1" s="1"/>
  <c r="E9" i="1"/>
  <c r="G9" i="1" s="1"/>
  <c r="E8" i="1"/>
  <c r="G8" i="1" s="1"/>
</calcChain>
</file>

<file path=xl/sharedStrings.xml><?xml version="1.0" encoding="utf-8"?>
<sst xmlns="http://schemas.openxmlformats.org/spreadsheetml/2006/main" count="64" uniqueCount="36">
  <si>
    <t>NOMINA</t>
  </si>
  <si>
    <t>CODIGO</t>
  </si>
  <si>
    <t>NOMBRE</t>
  </si>
  <si>
    <t>CATEGORIA</t>
  </si>
  <si>
    <t>PPS01</t>
  </si>
  <si>
    <t>ALFREDO DIAZ</t>
  </si>
  <si>
    <t>PPS02</t>
  </si>
  <si>
    <t>EMMANUEL MADRIGAL</t>
  </si>
  <si>
    <t>PPS03</t>
  </si>
  <si>
    <t>BENJAMIN ESTRADA</t>
  </si>
  <si>
    <t>PPS04</t>
  </si>
  <si>
    <t>IGNACIO PEREZ</t>
  </si>
  <si>
    <t>PPS05</t>
  </si>
  <si>
    <t>DAVID LARA</t>
  </si>
  <si>
    <t>PPS06</t>
  </si>
  <si>
    <t>ALEJANDRO OROZCO</t>
  </si>
  <si>
    <t>PPS07</t>
  </si>
  <si>
    <t>PPS08</t>
  </si>
  <si>
    <t>SUELDO MENSUAL</t>
  </si>
  <si>
    <t>SUELDO DIARIO</t>
  </si>
  <si>
    <t>DIAS TRABAJADOS</t>
  </si>
  <si>
    <t>SUELDO QUINCENAL</t>
  </si>
  <si>
    <t>SALIDA</t>
  </si>
  <si>
    <t>REGISTROS (REPORTE)</t>
  </si>
  <si>
    <t>CODIGO EMPLEADO</t>
  </si>
  <si>
    <t>ENTRADA</t>
  </si>
  <si>
    <t>MOTIVO</t>
  </si>
  <si>
    <t>HORA</t>
  </si>
  <si>
    <t>INCENTIVOS</t>
  </si>
  <si>
    <t>PPS09</t>
  </si>
  <si>
    <t>FECHA</t>
  </si>
  <si>
    <t>HORAS</t>
  </si>
  <si>
    <t>PPS0410/08/2021</t>
  </si>
  <si>
    <t>JAVIER ESPARZA</t>
  </si>
  <si>
    <t>ANDRES PELAYO</t>
  </si>
  <si>
    <t>JOSÉ RODRÍGUEZ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</si>
</sst>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-&quot;$&quot;* #,##0.00_-;\-&quot;$&quot;* #,##0.00_-;_-&quot;$&quot;* &quot;-&quot;??_-;_-@_-"/>
    <numFmt numFmtId="164" formatCode="h:mm:ss;@"/>
    <numFmt numFmtId="165" formatCode="[h]:mm:ss;@"/>
    <numFmt numFmtId="166" formatCode="h:mm;@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99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77">
    <xf numFmtId="0" fontId="0" fillId="0" borderId="0" xfId="0"/>
    <xf numFmtId="0" fontId="0" fillId="0" borderId="0" xfId="0" applyBorder="1" applyAlignment="1">
      <alignment horizontal="center"/>
    </xf>
    <xf numFmtId="49" fontId="0" fillId="3" borderId="9" xfId="0" applyNumberFormat="1" applyFill="1" applyBorder="1" applyAlignment="1" applyProtection="1">
      <alignment horizontal="center" vertical="center"/>
      <protection locked="0"/>
    </xf>
    <xf numFmtId="0" fontId="0" fillId="0" borderId="10" xfId="0" applyBorder="1" applyProtection="1">
      <protection locked="0"/>
    </xf>
    <xf numFmtId="49" fontId="0" fillId="0" borderId="10" xfId="0" applyNumberFormat="1" applyBorder="1" applyProtection="1"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11" xfId="0" applyBorder="1" applyProtection="1">
      <protection locked="0"/>
    </xf>
    <xf numFmtId="49" fontId="0" fillId="0" borderId="11" xfId="0" applyNumberFormat="1" applyBorder="1" applyProtection="1">
      <protection locked="0"/>
    </xf>
    <xf numFmtId="0" fontId="0" fillId="0" borderId="11" xfId="0" applyBorder="1" applyAlignment="1" applyProtection="1">
      <alignment horizontal="center"/>
      <protection locked="0"/>
    </xf>
    <xf numFmtId="49" fontId="0" fillId="0" borderId="5" xfId="0" applyNumberFormat="1" applyBorder="1" applyProtection="1">
      <protection locked="0"/>
    </xf>
    <xf numFmtId="49" fontId="0" fillId="0" borderId="5" xfId="0" applyNumberFormat="1" applyFill="1" applyBorder="1" applyProtection="1">
      <protection locked="0"/>
    </xf>
    <xf numFmtId="0" fontId="0" fillId="0" borderId="11" xfId="0" applyFill="1" applyBorder="1" applyAlignment="1" applyProtection="1">
      <alignment horizontal="center"/>
      <protection locked="0"/>
    </xf>
    <xf numFmtId="0" fontId="0" fillId="0" borderId="12" xfId="0" applyBorder="1" applyProtection="1">
      <protection locked="0"/>
    </xf>
    <xf numFmtId="0" fontId="0" fillId="0" borderId="12" xfId="0" applyFill="1" applyBorder="1" applyAlignment="1" applyProtection="1">
      <alignment horizontal="center"/>
      <protection locked="0"/>
    </xf>
    <xf numFmtId="44" fontId="0" fillId="0" borderId="10" xfId="1" applyFont="1" applyBorder="1" applyProtection="1">
      <protection locked="0"/>
    </xf>
    <xf numFmtId="44" fontId="0" fillId="0" borderId="10" xfId="1" applyFont="1" applyBorder="1"/>
    <xf numFmtId="44" fontId="0" fillId="0" borderId="11" xfId="1" applyFont="1" applyBorder="1" applyProtection="1">
      <protection locked="0"/>
    </xf>
    <xf numFmtId="44" fontId="0" fillId="0" borderId="11" xfId="1" applyFont="1" applyBorder="1"/>
    <xf numFmtId="44" fontId="0" fillId="0" borderId="11" xfId="1" applyFont="1" applyFill="1" applyBorder="1" applyProtection="1">
      <protection locked="0"/>
    </xf>
    <xf numFmtId="0" fontId="0" fillId="0" borderId="0" xfId="0" applyBorder="1"/>
    <xf numFmtId="0" fontId="4" fillId="0" borderId="0" xfId="0" applyFont="1" applyFill="1" applyBorder="1" applyAlignment="1">
      <alignment vertical="top"/>
    </xf>
    <xf numFmtId="0" fontId="2" fillId="0" borderId="0" xfId="0" applyFont="1" applyFill="1" applyBorder="1" applyAlignment="1">
      <alignment vertical="top"/>
    </xf>
    <xf numFmtId="0" fontId="3" fillId="0" borderId="0" xfId="0" applyFont="1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5" xfId="0" applyBorder="1"/>
    <xf numFmtId="0" fontId="0" fillId="0" borderId="11" xfId="0" applyBorder="1"/>
    <xf numFmtId="0" fontId="0" fillId="0" borderId="6" xfId="0" applyBorder="1" applyAlignment="1" applyProtection="1">
      <alignment horizontal="center"/>
      <protection locked="0"/>
    </xf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5" xfId="0" quotePrefix="1" applyBorder="1"/>
    <xf numFmtId="44" fontId="0" fillId="0" borderId="12" xfId="1" applyFont="1" applyFill="1" applyBorder="1"/>
    <xf numFmtId="0" fontId="0" fillId="0" borderId="8" xfId="0" applyBorder="1"/>
    <xf numFmtId="0" fontId="0" fillId="0" borderId="12" xfId="0" applyBorder="1"/>
    <xf numFmtId="44" fontId="0" fillId="0" borderId="7" xfId="0" applyNumberFormat="1" applyBorder="1"/>
    <xf numFmtId="0" fontId="0" fillId="0" borderId="0" xfId="0" applyFill="1"/>
    <xf numFmtId="0" fontId="0" fillId="0" borderId="0" xfId="0" applyProtection="1"/>
    <xf numFmtId="0" fontId="0" fillId="4" borderId="13" xfId="0" applyFill="1" applyBorder="1" applyAlignment="1" applyProtection="1">
      <alignment horizontal="center" vertical="center" wrapText="1"/>
    </xf>
    <xf numFmtId="0" fontId="0" fillId="4" borderId="14" xfId="0" applyFill="1" applyBorder="1" applyAlignment="1" applyProtection="1">
      <alignment horizontal="center" vertical="center" wrapText="1"/>
    </xf>
    <xf numFmtId="0" fontId="0" fillId="4" borderId="14" xfId="0" applyFill="1" applyBorder="1" applyAlignment="1" applyProtection="1">
      <alignment horizontal="center" vertical="center"/>
    </xf>
    <xf numFmtId="0" fontId="0" fillId="4" borderId="15" xfId="0" applyFill="1" applyBorder="1" applyAlignment="1" applyProtection="1">
      <alignment horizontal="center" vertical="center"/>
    </xf>
    <xf numFmtId="0" fontId="0" fillId="0" borderId="7" xfId="0" applyFill="1" applyBorder="1" applyAlignment="1" applyProtection="1">
      <alignment horizontal="center"/>
    </xf>
    <xf numFmtId="14" fontId="0" fillId="0" borderId="7" xfId="0" applyNumberFormat="1" applyFill="1" applyBorder="1" applyAlignment="1" applyProtection="1">
      <alignment horizontal="center"/>
    </xf>
    <xf numFmtId="20" fontId="0" fillId="0" borderId="7" xfId="0" applyNumberFormat="1" applyBorder="1" applyAlignment="1" applyProtection="1">
      <alignment horizontal="center"/>
    </xf>
    <xf numFmtId="164" fontId="0" fillId="0" borderId="7" xfId="0" applyNumberFormat="1" applyBorder="1" applyAlignment="1" applyProtection="1">
      <alignment horizontal="center"/>
    </xf>
    <xf numFmtId="20" fontId="0" fillId="0" borderId="8" xfId="0" applyNumberFormat="1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20" fontId="0" fillId="0" borderId="0" xfId="0" applyNumberFormat="1" applyBorder="1" applyAlignment="1" applyProtection="1">
      <alignment horizontal="center"/>
    </xf>
    <xf numFmtId="0" fontId="0" fillId="0" borderId="2" xfId="0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166" fontId="0" fillId="0" borderId="0" xfId="0" applyNumberFormat="1"/>
    <xf numFmtId="14" fontId="0" fillId="0" borderId="0" xfId="0" applyNumberFormat="1"/>
    <xf numFmtId="165" fontId="0" fillId="0" borderId="0" xfId="0" applyNumberFormat="1"/>
    <xf numFmtId="0" fontId="3" fillId="0" borderId="1" xfId="0" applyFont="1" applyBorder="1" applyAlignment="1" applyProtection="1">
      <alignment horizontal="center" vertical="top"/>
    </xf>
    <xf numFmtId="0" fontId="3" fillId="0" borderId="2" xfId="0" applyFont="1" applyBorder="1" applyAlignment="1" applyProtection="1">
      <alignment horizontal="center" vertical="top"/>
    </xf>
    <xf numFmtId="0" fontId="3" fillId="0" borderId="3" xfId="0" applyFont="1" applyBorder="1" applyAlignment="1" applyProtection="1">
      <alignment horizontal="center" vertical="top"/>
    </xf>
    <xf numFmtId="0" fontId="4" fillId="0" borderId="4" xfId="0" applyFont="1" applyBorder="1" applyAlignment="1" applyProtection="1">
      <alignment horizontal="center" vertical="top"/>
    </xf>
    <xf numFmtId="0" fontId="4" fillId="0" borderId="0" xfId="0" applyFont="1" applyBorder="1" applyAlignment="1" applyProtection="1">
      <alignment horizontal="center" vertical="top"/>
    </xf>
    <xf numFmtId="0" fontId="4" fillId="0" borderId="5" xfId="0" applyFont="1" applyBorder="1" applyAlignment="1" applyProtection="1">
      <alignment horizontal="center" vertical="top"/>
    </xf>
    <xf numFmtId="0" fontId="2" fillId="2" borderId="4" xfId="0" applyFont="1" applyFill="1" applyBorder="1" applyAlignment="1" applyProtection="1">
      <alignment horizontal="right" vertical="top"/>
    </xf>
    <xf numFmtId="0" fontId="2" fillId="2" borderId="0" xfId="0" applyFont="1" applyFill="1" applyBorder="1" applyAlignment="1" applyProtection="1">
      <alignment horizontal="right" vertical="top"/>
    </xf>
    <xf numFmtId="0" fontId="2" fillId="2" borderId="5" xfId="0" applyFont="1" applyFill="1" applyBorder="1" applyAlignment="1" applyProtection="1">
      <alignment horizontal="right" vertical="top"/>
    </xf>
    <xf numFmtId="0" fontId="0" fillId="0" borderId="6" xfId="0" applyBorder="1" applyAlignment="1" applyProtection="1">
      <alignment horizontal="center" vertical="top"/>
    </xf>
    <xf numFmtId="0" fontId="0" fillId="0" borderId="7" xfId="0" applyBorder="1" applyAlignment="1" applyProtection="1">
      <alignment horizontal="center" vertical="top"/>
    </xf>
    <xf numFmtId="0" fontId="0" fillId="0" borderId="8" xfId="0" applyBorder="1" applyAlignment="1" applyProtection="1">
      <alignment horizontal="center" vertical="top"/>
    </xf>
    <xf numFmtId="0" fontId="3" fillId="0" borderId="1" xfId="0" applyFont="1" applyBorder="1" applyAlignment="1">
      <alignment horizontal="center" vertical="top"/>
    </xf>
    <xf numFmtId="0" fontId="3" fillId="0" borderId="2" xfId="0" applyFont="1" applyBorder="1" applyAlignment="1">
      <alignment horizontal="center" vertical="top"/>
    </xf>
    <xf numFmtId="0" fontId="4" fillId="0" borderId="4" xfId="0" applyFont="1" applyBorder="1" applyAlignment="1">
      <alignment horizontal="center" vertical="top"/>
    </xf>
    <xf numFmtId="0" fontId="4" fillId="0" borderId="0" xfId="0" applyFont="1" applyBorder="1" applyAlignment="1">
      <alignment horizontal="center" vertical="top"/>
    </xf>
    <xf numFmtId="0" fontId="2" fillId="2" borderId="4" xfId="0" applyFont="1" applyFill="1" applyBorder="1" applyAlignment="1">
      <alignment horizontal="right" vertical="top"/>
    </xf>
    <xf numFmtId="0" fontId="2" fillId="2" borderId="0" xfId="0" applyFont="1" applyFill="1" applyBorder="1" applyAlignment="1">
      <alignment horizontal="right" vertical="top"/>
    </xf>
    <xf numFmtId="0" fontId="0" fillId="0" borderId="4" xfId="0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49" fontId="0" fillId="5" borderId="9" xfId="0" applyNumberFormat="1" applyFill="1" applyBorder="1" applyAlignment="1" applyProtection="1">
      <alignment horizontal="center" vertical="center"/>
      <protection locked="0"/>
    </xf>
    <xf numFmtId="49" fontId="0" fillId="5" borderId="9" xfId="0" applyNumberFormat="1" applyFill="1" applyBorder="1" applyAlignment="1" applyProtection="1">
      <alignment horizontal="center" vertical="center" textRotation="255"/>
      <protection locked="0"/>
    </xf>
    <xf numFmtId="49" fontId="0" fillId="5" borderId="9" xfId="0" applyNumberFormat="1" applyFill="1" applyBorder="1" applyAlignment="1">
      <alignment horizontal="center" vertical="center"/>
    </xf>
    <xf numFmtId="49" fontId="0" fillId="5" borderId="13" xfId="0" applyNumberFormat="1" applyFill="1" applyBorder="1" applyAlignment="1" applyProtection="1">
      <alignment horizontal="center" vertical="center" textRotation="90"/>
      <protection locked="0"/>
    </xf>
  </cellXfs>
  <cellStyles count="2">
    <cellStyle name="Moneda" xfId="1" builtinId="4"/>
    <cellStyle name="Normal" xfId="0" builtinId="0"/>
  </cellStyles>
  <dxfs count="4">
    <dxf>
      <numFmt numFmtId="165" formatCode="[h]:mm:ss;@"/>
    </dxf>
    <dxf>
      <numFmt numFmtId="166" formatCode="h:mm;@"/>
    </dxf>
    <dxf>
      <numFmt numFmtId="166" formatCode="h:mm;@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215901</xdr:colOff>
      <xdr:row>0</xdr:row>
      <xdr:rowOff>38100</xdr:rowOff>
    </xdr:from>
    <xdr:to>
      <xdr:col>3</xdr:col>
      <xdr:colOff>431801</xdr:colOff>
      <xdr:row>4</xdr:row>
      <xdr:rowOff>183991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8C58E54-8715-4C30-B6CD-4DB77F921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1" y="38100"/>
          <a:ext cx="3073400" cy="907891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4</xdr:row>
      <xdr:rowOff>9525</xdr:rowOff>
    </xdr:from>
    <xdr:to>
      <xdr:col>5</xdr:col>
      <xdr:colOff>742950</xdr:colOff>
      <xdr:row>6</xdr:row>
      <xdr:rowOff>190500</xdr:rowOff>
    </xdr:to>
    <xdr:sp macro="[0]!Módulo1.REGISTRO" textlink="">
      <xdr:nvSpPr>
        <xdr:cNvPr id="3" name="Rectángulo redondeado 2"/>
        <xdr:cNvSpPr/>
      </xdr:nvSpPr>
      <xdr:spPr>
        <a:xfrm>
          <a:off x="4743450" y="781050"/>
          <a:ext cx="1504950" cy="771525"/>
        </a:xfrm>
        <a:prstGeom prst="round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 b="1" i="1">
              <a:latin typeface="Century Gothic" panose="020B0502020202020204" pitchFamily="34" charset="0"/>
            </a:rPr>
            <a:t>CHECAR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215901</xdr:colOff>
      <xdr:row>0</xdr:row>
      <xdr:rowOff>38100</xdr:rowOff>
    </xdr:from>
    <xdr:to>
      <xdr:col>3</xdr:col>
      <xdr:colOff>227714</xdr:colOff>
      <xdr:row>4</xdr:row>
      <xdr:rowOff>183991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3E20A11-33EF-49A8-834A-DE4AF04158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1" y="38100"/>
          <a:ext cx="3071719" cy="91979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1:F2" totalsRowShown="0">
  <autoFilter ref="A1:F2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CODIGO"/>
    <tableColumn id="2" name="NOMBRE"/>
    <tableColumn id="3" name="FECHA" dataDxfId="3"/>
    <tableColumn id="4" name="ENTRADA" dataDxfId="2"/>
    <tableColumn id="5" name="SALIDA" dataDxfId="1"/>
    <tableColumn id="6" name="HORAS" dataDxfId="0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10"/>
  <sheetViews>
    <sheetView workbookViewId="0">
      <selection activeCell="D1" sqref="D1:F10"/>
    </sheetView>
  </sheetViews>
  <sheetFormatPr baseColWidth="10" defaultRowHeight="15" x14ac:dyDescent="0.25"/>
  <cols>
    <col min="2" max="2" width="21.7109375" customWidth="1"/>
  </cols>
  <sheetData>
    <row r="1" spans="1:3" ht="15.75" thickBot="1" x14ac:dyDescent="0.3">
      <c r="A1" s="2" t="s">
        <v>1</v>
      </c>
      <c r="B1" s="2" t="s">
        <v>2</v>
      </c>
      <c r="C1" s="2" t="s">
        <v>26</v>
      </c>
    </row>
    <row r="2" spans="1:3" x14ac:dyDescent="0.25">
      <c r="A2" s="3" t="s">
        <v>4</v>
      </c>
      <c r="B2" s="4" t="s">
        <v>5</v>
      </c>
      <c r="C2" s="3" t="s">
        <v>25</v>
      </c>
    </row>
    <row r="3" spans="1:3" x14ac:dyDescent="0.25">
      <c r="A3" s="6" t="s">
        <v>6</v>
      </c>
      <c r="B3" s="7" t="s">
        <v>7</v>
      </c>
      <c r="C3" s="6" t="s">
        <v>22</v>
      </c>
    </row>
    <row r="4" spans="1:3" x14ac:dyDescent="0.25">
      <c r="A4" s="6" t="s">
        <v>8</v>
      </c>
      <c r="B4" s="7" t="s">
        <v>9</v>
      </c>
      <c r="C4" s="6"/>
    </row>
    <row r="5" spans="1:3" x14ac:dyDescent="0.25">
      <c r="A5" s="6" t="s">
        <v>10</v>
      </c>
      <c r="B5" s="7" t="s">
        <v>11</v>
      </c>
      <c r="C5" s="6"/>
    </row>
    <row r="6" spans="1:3" x14ac:dyDescent="0.25">
      <c r="A6" s="6" t="s">
        <v>12</v>
      </c>
      <c r="B6" s="7" t="s">
        <v>13</v>
      </c>
      <c r="C6" s="6"/>
    </row>
    <row r="7" spans="1:3" x14ac:dyDescent="0.25">
      <c r="A7" s="6" t="s">
        <v>14</v>
      </c>
      <c r="B7" s="9" t="s">
        <v>15</v>
      </c>
      <c r="C7" s="6"/>
    </row>
    <row r="8" spans="1:3" x14ac:dyDescent="0.25">
      <c r="A8" s="6" t="s">
        <v>16</v>
      </c>
      <c r="B8" s="10" t="s">
        <v>35</v>
      </c>
      <c r="C8" s="6"/>
    </row>
    <row r="9" spans="1:3" x14ac:dyDescent="0.25">
      <c r="A9" s="6" t="s">
        <v>17</v>
      </c>
      <c r="B9" s="25" t="s">
        <v>34</v>
      </c>
      <c r="C9" s="25"/>
    </row>
    <row r="10" spans="1:3" ht="15.75" thickBot="1" x14ac:dyDescent="0.3">
      <c r="A10" s="12" t="s">
        <v>29</v>
      </c>
      <c r="B10" s="32" t="s">
        <v>33</v>
      </c>
      <c r="C10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F2"/>
  <sheetViews>
    <sheetView zoomScaleNormal="100" workbookViewId="0">
      <selection activeCell="C6" sqref="C6"/>
    </sheetView>
  </sheetViews>
  <sheetFormatPr baseColWidth="10" defaultRowHeight="15" x14ac:dyDescent="0.25"/>
  <cols>
    <col min="1" max="1" width="32.7109375" customWidth="1"/>
    <col min="2" max="2" width="21.42578125" bestFit="1" customWidth="1"/>
    <col min="4" max="4" width="11.5703125" style="50" customWidth="1"/>
    <col min="5" max="5" width="7.28515625" style="50" bestFit="1" customWidth="1"/>
    <col min="6" max="6" width="7.140625" style="52" bestFit="1" customWidth="1"/>
  </cols>
  <sheetData>
    <row r="1" spans="1:6" x14ac:dyDescent="0.25">
      <c r="A1" t="s">
        <v>1</v>
      </c>
      <c r="B1" t="s">
        <v>2</v>
      </c>
      <c r="C1" t="s">
        <v>30</v>
      </c>
      <c r="D1" s="50" t="s">
        <v>25</v>
      </c>
      <c r="E1" s="50" t="s">
        <v>22</v>
      </c>
      <c r="F1" s="52" t="s">
        <v>31</v>
      </c>
    </row>
    <row r="2" spans="1:6" x14ac:dyDescent="0.25">
      <c r="A2" t="s">
        <v>32</v>
      </c>
      <c r="B2" t="s">
        <v>11</v>
      </c>
      <c r="C2" s="51">
        <v>44418</v>
      </c>
      <c r="D2" s="50">
        <v>44418.576748263891</v>
      </c>
      <c r="E2" s="50">
        <v>44418.579942129632</v>
      </c>
      <c r="F2" s="52">
        <f>IFERROR(E2-D2,0)</f>
        <v>3.1938657411956228E-3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13"/>
  <sheetViews>
    <sheetView workbookViewId="0">
      <selection activeCell="A7" sqref="A7"/>
    </sheetView>
  </sheetViews>
  <sheetFormatPr baseColWidth="10" defaultRowHeight="15" x14ac:dyDescent="0.25"/>
  <cols>
    <col min="1" max="1" width="10.7109375" style="35" bestFit="1" customWidth="1"/>
    <col min="2" max="2" width="21.42578125" style="35" bestFit="1" customWidth="1"/>
    <col min="3" max="3" width="10.7109375" style="35" bestFit="1" customWidth="1"/>
    <col min="4" max="4" width="18.85546875" style="35" customWidth="1"/>
    <col min="5" max="16384" width="11.42578125" style="35"/>
  </cols>
  <sheetData>
    <row r="1" spans="1:6" ht="15.75" x14ac:dyDescent="0.25">
      <c r="A1" s="53"/>
      <c r="B1" s="54"/>
      <c r="C1" s="54"/>
      <c r="D1" s="54"/>
      <c r="E1" s="54"/>
      <c r="F1" s="55"/>
    </row>
    <row r="2" spans="1:6" x14ac:dyDescent="0.25">
      <c r="A2" s="56"/>
      <c r="B2" s="57"/>
      <c r="C2" s="57"/>
      <c r="D2" s="57"/>
      <c r="E2" s="57"/>
      <c r="F2" s="58"/>
    </row>
    <row r="3" spans="1:6" x14ac:dyDescent="0.25">
      <c r="A3" s="59" t="s">
        <v>23</v>
      </c>
      <c r="B3" s="60"/>
      <c r="C3" s="60"/>
      <c r="D3" s="60"/>
      <c r="E3" s="60"/>
      <c r="F3" s="61"/>
    </row>
    <row r="4" spans="1:6" x14ac:dyDescent="0.25">
      <c r="A4" s="56"/>
      <c r="B4" s="57"/>
      <c r="C4" s="57"/>
      <c r="D4" s="57"/>
      <c r="E4" s="57"/>
      <c r="F4" s="58"/>
    </row>
    <row r="5" spans="1:6" ht="15.75" thickBot="1" x14ac:dyDescent="0.3">
      <c r="A5" s="62"/>
      <c r="B5" s="63"/>
      <c r="C5" s="63"/>
      <c r="D5" s="63"/>
      <c r="E5" s="63"/>
      <c r="F5" s="64"/>
    </row>
    <row r="6" spans="1:6" ht="30.75" thickBot="1" x14ac:dyDescent="0.3">
      <c r="A6" s="36" t="s">
        <v>24</v>
      </c>
      <c r="B6" s="37" t="s">
        <v>2</v>
      </c>
      <c r="C6" s="37" t="s">
        <v>30</v>
      </c>
      <c r="D6" s="37" t="s">
        <v>27</v>
      </c>
      <c r="E6" s="38"/>
      <c r="F6" s="39"/>
    </row>
    <row r="7" spans="1:6" ht="15.75" thickBot="1" x14ac:dyDescent="0.3">
      <c r="A7" s="26" t="s">
        <v>6</v>
      </c>
      <c r="B7" s="40" t="str">
        <f>VLOOKUP(A7,DATOS!A1:C10,2)</f>
        <v>EMMANUEL MADRIGAL</v>
      </c>
      <c r="C7" s="41">
        <f ca="1">TODAY()</f>
        <v>44418</v>
      </c>
      <c r="D7" s="43">
        <f ca="1">NOW()</f>
        <v>44418.698988888886</v>
      </c>
      <c r="E7" s="42"/>
      <c r="F7" s="44"/>
    </row>
    <row r="8" spans="1:6" x14ac:dyDescent="0.25">
      <c r="A8" s="45"/>
      <c r="B8" s="46"/>
      <c r="C8" s="46"/>
      <c r="D8" s="46"/>
      <c r="E8" s="46"/>
      <c r="F8" s="48"/>
    </row>
    <row r="9" spans="1:6" x14ac:dyDescent="0.25">
      <c r="A9" s="45"/>
      <c r="B9" s="46"/>
      <c r="C9" s="46"/>
      <c r="D9" s="46"/>
      <c r="E9" s="46"/>
      <c r="F9" s="46"/>
    </row>
    <row r="10" spans="1:6" x14ac:dyDescent="0.25">
      <c r="A10" s="45"/>
      <c r="B10" s="46"/>
      <c r="C10" s="46"/>
      <c r="D10" s="46"/>
      <c r="E10" s="46"/>
      <c r="F10" s="46"/>
    </row>
    <row r="11" spans="1:6" x14ac:dyDescent="0.25">
      <c r="A11" s="45"/>
      <c r="B11" s="49"/>
      <c r="C11" s="49"/>
      <c r="D11" s="46"/>
      <c r="E11" s="46"/>
      <c r="F11" s="46"/>
    </row>
    <row r="12" spans="1:6" x14ac:dyDescent="0.25">
      <c r="A12" s="45"/>
      <c r="B12" s="49"/>
      <c r="C12" s="49"/>
      <c r="D12" s="47"/>
      <c r="E12" s="47"/>
      <c r="F12" s="47"/>
    </row>
    <row r="13" spans="1:6" x14ac:dyDescent="0.25">
      <c r="A13" s="45"/>
      <c r="B13" s="46"/>
      <c r="C13" s="46"/>
      <c r="D13" s="46"/>
      <c r="E13" s="46"/>
      <c r="F13" s="46"/>
    </row>
  </sheetData>
  <sheetProtection sheet="1" objects="1" scenarios="1" selectLockedCells="1"/>
  <mergeCells count="5">
    <mergeCell ref="A1:F1"/>
    <mergeCell ref="A2:F2"/>
    <mergeCell ref="A3:F3"/>
    <mergeCell ref="A4:F4"/>
    <mergeCell ref="A5:F5"/>
  </mergeCells>
  <dataValidations count="1">
    <dataValidation type="textLength" allowBlank="1" showInputMessage="1" showErrorMessage="1" sqref="A8:A13">
      <formula1>5</formula1>
      <formula2>5</formula2>
    </dataValidation>
  </dataValidations>
  <pageMargins left="0.7" right="0.7" top="0.75" bottom="0.75" header="0.3" footer="0.3"/>
  <pageSetup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DATOS!$A$2:$A$10</xm:f>
          </x14:formula1>
          <xm:sqref>A7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P21"/>
  <sheetViews>
    <sheetView tabSelected="1" zoomScale="80" zoomScaleNormal="80" workbookViewId="0">
      <selection activeCell="I17" sqref="I17"/>
    </sheetView>
  </sheetViews>
  <sheetFormatPr baseColWidth="10" defaultRowHeight="15" x14ac:dyDescent="0.25"/>
  <cols>
    <col min="2" max="2" width="23" customWidth="1"/>
    <col min="4" max="4" width="20.5703125" customWidth="1"/>
    <col min="5" max="5" width="19.28515625" customWidth="1"/>
    <col min="7" max="7" width="21.42578125" customWidth="1"/>
    <col min="8" max="8" width="12.42578125" bestFit="1" customWidth="1"/>
  </cols>
  <sheetData>
    <row r="1" spans="1:16" ht="15.75" x14ac:dyDescent="0.25">
      <c r="A1" s="65"/>
      <c r="B1" s="66"/>
      <c r="C1" s="66"/>
      <c r="D1" s="66"/>
      <c r="E1" s="66"/>
      <c r="F1" s="66"/>
      <c r="G1" s="66"/>
      <c r="H1" s="66"/>
    </row>
    <row r="2" spans="1:16" x14ac:dyDescent="0.25">
      <c r="A2" s="67"/>
      <c r="B2" s="68"/>
      <c r="C2" s="68"/>
      <c r="D2" s="68"/>
      <c r="E2" s="68"/>
      <c r="F2" s="68"/>
      <c r="G2" s="68"/>
      <c r="H2" s="68"/>
    </row>
    <row r="3" spans="1:16" x14ac:dyDescent="0.25">
      <c r="A3" s="69" t="s">
        <v>0</v>
      </c>
      <c r="B3" s="70"/>
      <c r="C3" s="70"/>
      <c r="D3" s="70"/>
      <c r="E3" s="70"/>
      <c r="F3" s="70"/>
      <c r="G3" s="70"/>
      <c r="H3" s="70"/>
    </row>
    <row r="4" spans="1:16" x14ac:dyDescent="0.25">
      <c r="A4" s="67"/>
      <c r="B4" s="68"/>
      <c r="C4" s="68"/>
      <c r="D4" s="68"/>
      <c r="E4" s="68"/>
      <c r="F4" s="68"/>
      <c r="G4" s="68"/>
      <c r="H4" s="68"/>
    </row>
    <row r="5" spans="1:16" x14ac:dyDescent="0.25">
      <c r="A5" s="71"/>
      <c r="B5" s="72"/>
      <c r="C5" s="72"/>
      <c r="D5" s="72"/>
      <c r="E5" s="72"/>
      <c r="F5" s="72"/>
      <c r="G5" s="72"/>
      <c r="H5" s="72"/>
      <c r="I5" s="23"/>
      <c r="J5" s="23"/>
      <c r="K5" s="23"/>
      <c r="L5" s="23"/>
      <c r="M5" s="23"/>
      <c r="N5" s="23"/>
      <c r="O5" s="23"/>
      <c r="P5" s="19"/>
    </row>
    <row r="6" spans="1:16" ht="15.75" thickBot="1" x14ac:dyDescent="0.3">
      <c r="A6" s="1"/>
      <c r="B6" s="1"/>
      <c r="C6" s="1"/>
      <c r="D6" s="1"/>
      <c r="E6" s="1"/>
      <c r="F6" s="1"/>
      <c r="G6" s="27"/>
      <c r="H6" s="27"/>
      <c r="I6" s="1"/>
      <c r="J6" s="1"/>
      <c r="K6" s="1"/>
      <c r="L6" s="1"/>
      <c r="M6" s="1"/>
      <c r="N6" s="1"/>
      <c r="O6" s="1"/>
      <c r="P6" s="1"/>
    </row>
    <row r="7" spans="1:16" ht="137.25" thickBot="1" x14ac:dyDescent="0.3">
      <c r="A7" s="73" t="s">
        <v>1</v>
      </c>
      <c r="B7" s="73" t="s">
        <v>2</v>
      </c>
      <c r="C7" s="74" t="s">
        <v>3</v>
      </c>
      <c r="D7" s="73" t="s">
        <v>18</v>
      </c>
      <c r="E7" s="75" t="s">
        <v>19</v>
      </c>
      <c r="F7" s="76" t="s">
        <v>20</v>
      </c>
      <c r="G7" s="75" t="s">
        <v>21</v>
      </c>
      <c r="H7" s="75" t="s">
        <v>28</v>
      </c>
    </row>
    <row r="8" spans="1:16" x14ac:dyDescent="0.25">
      <c r="A8" s="3" t="s">
        <v>4</v>
      </c>
      <c r="B8" s="4" t="s">
        <v>5</v>
      </c>
      <c r="C8" s="5">
        <v>3</v>
      </c>
      <c r="D8" s="14">
        <v>15000</v>
      </c>
      <c r="E8" s="15">
        <f>D8/30</f>
        <v>500</v>
      </c>
      <c r="F8" s="5">
        <v>10</v>
      </c>
      <c r="G8" s="17">
        <f>E8*F8</f>
        <v>5000</v>
      </c>
      <c r="H8" s="29"/>
    </row>
    <row r="9" spans="1:16" x14ac:dyDescent="0.25">
      <c r="A9" s="6" t="s">
        <v>6</v>
      </c>
      <c r="B9" s="7" t="s">
        <v>7</v>
      </c>
      <c r="C9" s="8">
        <v>2</v>
      </c>
      <c r="D9" s="16">
        <v>12000</v>
      </c>
      <c r="E9" s="17">
        <f t="shared" ref="E9:E16" si="0">D9/30</f>
        <v>400</v>
      </c>
      <c r="F9" s="8">
        <v>9</v>
      </c>
      <c r="G9" s="17">
        <f t="shared" ref="G9:G16" si="1">E9*F9</f>
        <v>3600</v>
      </c>
      <c r="H9" s="24"/>
    </row>
    <row r="10" spans="1:16" x14ac:dyDescent="0.25">
      <c r="A10" s="6" t="s">
        <v>8</v>
      </c>
      <c r="B10" s="7" t="s">
        <v>9</v>
      </c>
      <c r="C10" s="8">
        <v>1</v>
      </c>
      <c r="D10" s="16">
        <v>10000</v>
      </c>
      <c r="E10" s="17">
        <f t="shared" si="0"/>
        <v>333.33333333333331</v>
      </c>
      <c r="F10" s="8">
        <v>9</v>
      </c>
      <c r="G10" s="17">
        <f t="shared" si="1"/>
        <v>3000</v>
      </c>
      <c r="H10" s="24"/>
    </row>
    <row r="11" spans="1:16" x14ac:dyDescent="0.25">
      <c r="A11" s="6" t="s">
        <v>10</v>
      </c>
      <c r="B11" s="7" t="s">
        <v>11</v>
      </c>
      <c r="C11" s="8">
        <v>3</v>
      </c>
      <c r="D11" s="16">
        <v>15000</v>
      </c>
      <c r="E11" s="17">
        <f t="shared" si="0"/>
        <v>500</v>
      </c>
      <c r="F11" s="8">
        <v>10</v>
      </c>
      <c r="G11" s="17">
        <f t="shared" si="1"/>
        <v>5000</v>
      </c>
      <c r="H11" s="24"/>
    </row>
    <row r="12" spans="1:16" x14ac:dyDescent="0.25">
      <c r="A12" s="6" t="s">
        <v>12</v>
      </c>
      <c r="B12" s="7" t="s">
        <v>13</v>
      </c>
      <c r="C12" s="8">
        <v>2</v>
      </c>
      <c r="D12" s="16">
        <v>12000</v>
      </c>
      <c r="E12" s="17">
        <f t="shared" si="0"/>
        <v>400</v>
      </c>
      <c r="F12" s="8">
        <v>9</v>
      </c>
      <c r="G12" s="17">
        <f t="shared" si="1"/>
        <v>3600</v>
      </c>
      <c r="H12" s="24"/>
    </row>
    <row r="13" spans="1:16" x14ac:dyDescent="0.25">
      <c r="A13" s="6" t="s">
        <v>14</v>
      </c>
      <c r="B13" s="7" t="s">
        <v>15</v>
      </c>
      <c r="C13" s="8">
        <v>1</v>
      </c>
      <c r="D13" s="16">
        <v>10000</v>
      </c>
      <c r="E13" s="17">
        <f t="shared" si="0"/>
        <v>333.33333333333331</v>
      </c>
      <c r="F13" s="8">
        <v>9</v>
      </c>
      <c r="G13" s="17">
        <f t="shared" si="1"/>
        <v>3000</v>
      </c>
      <c r="H13" s="24"/>
    </row>
    <row r="14" spans="1:16" x14ac:dyDescent="0.25">
      <c r="A14" s="6" t="s">
        <v>16</v>
      </c>
      <c r="B14" s="10" t="s">
        <v>35</v>
      </c>
      <c r="C14" s="11">
        <v>3</v>
      </c>
      <c r="D14" s="18">
        <v>15000</v>
      </c>
      <c r="E14" s="17">
        <f t="shared" si="0"/>
        <v>500</v>
      </c>
      <c r="F14" s="11">
        <v>10</v>
      </c>
      <c r="G14" s="17">
        <f t="shared" si="1"/>
        <v>5000</v>
      </c>
      <c r="H14" s="24"/>
    </row>
    <row r="15" spans="1:16" x14ac:dyDescent="0.25">
      <c r="A15" s="6" t="s">
        <v>17</v>
      </c>
      <c r="B15" s="25" t="s">
        <v>34</v>
      </c>
      <c r="C15" s="11">
        <v>2</v>
      </c>
      <c r="D15" s="18">
        <v>12000</v>
      </c>
      <c r="E15" s="17">
        <f t="shared" si="0"/>
        <v>400</v>
      </c>
      <c r="F15" s="28">
        <v>9</v>
      </c>
      <c r="G15" s="17">
        <f t="shared" si="1"/>
        <v>3600</v>
      </c>
      <c r="H15" s="24"/>
    </row>
    <row r="16" spans="1:16" ht="15.75" thickBot="1" x14ac:dyDescent="0.3">
      <c r="A16" s="12" t="s">
        <v>29</v>
      </c>
      <c r="B16" s="32" t="s">
        <v>33</v>
      </c>
      <c r="C16" s="13">
        <v>1</v>
      </c>
      <c r="D16" s="33">
        <v>10000</v>
      </c>
      <c r="E16" s="30">
        <f t="shared" si="0"/>
        <v>333.33333333333331</v>
      </c>
      <c r="F16" s="13">
        <v>9</v>
      </c>
      <c r="G16" s="30">
        <f t="shared" si="1"/>
        <v>3000</v>
      </c>
      <c r="H16" s="31"/>
      <c r="I16" s="34"/>
      <c r="J16" s="34"/>
      <c r="K16" s="34"/>
      <c r="L16" s="34"/>
    </row>
    <row r="17" spans="1:15" ht="15.75" x14ac:dyDescent="0.25">
      <c r="E17" s="22"/>
      <c r="F17" s="22"/>
      <c r="G17" s="22"/>
      <c r="H17" s="22"/>
      <c r="I17" s="22"/>
      <c r="J17" s="22"/>
      <c r="K17" s="22"/>
      <c r="L17" s="22"/>
      <c r="M17" s="34"/>
      <c r="N17" s="34"/>
      <c r="O17" s="34"/>
    </row>
    <row r="18" spans="1:15" x14ac:dyDescent="0.25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34"/>
      <c r="N18" s="34"/>
      <c r="O18" s="34"/>
    </row>
    <row r="19" spans="1:15" x14ac:dyDescent="0.25">
      <c r="B19" s="34"/>
      <c r="C19" s="34"/>
      <c r="D19" s="34"/>
      <c r="E19" s="34"/>
      <c r="F19" s="34"/>
      <c r="G19" s="34"/>
      <c r="H19" s="34"/>
      <c r="I19" s="21"/>
      <c r="J19" s="21"/>
      <c r="K19" s="21"/>
      <c r="L19" s="21"/>
      <c r="M19" s="34"/>
      <c r="N19" s="34"/>
      <c r="O19" s="34"/>
    </row>
    <row r="20" spans="1:15" x14ac:dyDescent="0.25">
      <c r="B20" s="34"/>
      <c r="C20" s="34"/>
      <c r="D20" s="34"/>
      <c r="E20" s="34"/>
      <c r="F20" s="34"/>
      <c r="G20" s="34"/>
      <c r="H20" s="34"/>
    </row>
    <row r="21" spans="1:15" x14ac:dyDescent="0.25">
      <c r="B21" s="34"/>
      <c r="C21" s="34"/>
      <c r="D21" s="34"/>
      <c r="E21" s="34"/>
      <c r="F21" s="34"/>
      <c r="G21" s="34"/>
      <c r="H21" s="34"/>
    </row>
  </sheetData>
  <mergeCells count="5">
    <mergeCell ref="A1:H1"/>
    <mergeCell ref="A2:H2"/>
    <mergeCell ref="A3:H3"/>
    <mergeCell ref="A4:H4"/>
    <mergeCell ref="A5:H5"/>
  </mergeCells>
  <dataValidations count="4">
    <dataValidation type="whole" allowBlank="1" showInputMessage="1" showErrorMessage="1" sqref="C8:C13">
      <formula1>1</formula1>
      <formula2>3</formula2>
    </dataValidation>
    <dataValidation type="textLength" allowBlank="1" showInputMessage="1" showErrorMessage="1" sqref="A8:A16">
      <formula1>5</formula1>
      <formula2>5</formula2>
    </dataValidation>
    <dataValidation type="whole" allowBlank="1" showInputMessage="1" showErrorMessage="1" sqref="F8:F13">
      <formula1>1</formula1>
      <formula2>15</formula2>
    </dataValidation>
    <dataValidation type="whole" operator="greaterThan" allowBlank="1" showInputMessage="1" showErrorMessage="1" sqref="D8:D13">
      <formula1>0</formula1>
    </dataValidation>
  </dataValidations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DATOS</vt:lpstr>
      <vt:lpstr>REGISTRO</vt:lpstr>
      <vt:lpstr>RELOJ</vt:lpstr>
      <vt:lpstr>NOMINA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Sistemas</dc:creator>
  <cp:lastModifiedBy>Sistemas</cp:lastModifiedBy>
  <dcterms:created xsi:type="dcterms:W3CDTF">2021-08-09T02:30:19Z</dcterms:created>
  <dcterms:modified xsi:type="dcterms:W3CDTF">2021-08-10T21:47:15Z</dcterms:modified>
</cp:coreProperties>
</file>